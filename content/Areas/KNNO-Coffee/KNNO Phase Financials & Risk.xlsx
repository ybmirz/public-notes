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miru/Documents/our-Notes/02-Areas/KNNO-Coffee/"/>
    </mc:Choice>
  </mc:AlternateContent>
  <xr:revisionPtr revIDLastSave="0" documentId="13_ncr:1_{763A3C0F-75B1-2C44-8BF8-D4D768E13711}" xr6:coauthVersionLast="47" xr6:coauthVersionMax="47" xr10:uidLastSave="{00000000-0000-0000-0000-000000000000}"/>
  <bookViews>
    <workbookView xWindow="6520" yWindow="960" windowWidth="27460" windowHeight="21080" xr2:uid="{00000000-000D-0000-FFFF-FFFF00000000}"/>
  </bookViews>
  <sheets>
    <sheet name="1. README" sheetId="1" r:id="rId1"/>
    <sheet name="2. P1 Budget" sheetId="2" r:id="rId2"/>
    <sheet name="3. P1 Revenue" sheetId="3" r:id="rId3"/>
    <sheet name="4. P1 Net Cash" sheetId="4" r:id="rId4"/>
    <sheet name="5. P2 Capex" sheetId="5" r:id="rId5"/>
    <sheet name="6. Combined Capex" sheetId="6" r:id="rId6"/>
    <sheet name="7. Decision Gate" sheetId="7" r:id="rId7"/>
    <sheet name="8. P1 Risks" sheetId="8" r:id="rId8"/>
    <sheet name="9. P1 Sensitivity" sheetId="9" r:id="rId9"/>
    <sheet name="10. Cash Tracker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0" l="1"/>
  <c r="D28" i="10"/>
  <c r="F8" i="10"/>
  <c r="F7" i="10"/>
  <c r="I19" i="9"/>
  <c r="H19" i="9"/>
  <c r="G19" i="9"/>
  <c r="F19" i="9"/>
  <c r="E19" i="9"/>
  <c r="D19" i="9"/>
  <c r="C19" i="9"/>
  <c r="B19" i="9"/>
  <c r="I18" i="9"/>
  <c r="H18" i="9"/>
  <c r="G18" i="9"/>
  <c r="F18" i="9"/>
  <c r="E18" i="9"/>
  <c r="D18" i="9"/>
  <c r="C18" i="9"/>
  <c r="B18" i="9"/>
  <c r="I17" i="9"/>
  <c r="H17" i="9"/>
  <c r="G17" i="9"/>
  <c r="F17" i="9"/>
  <c r="E17" i="9"/>
  <c r="D17" i="9"/>
  <c r="C17" i="9"/>
  <c r="B17" i="9"/>
  <c r="I16" i="9"/>
  <c r="H16" i="9"/>
  <c r="G16" i="9"/>
  <c r="F16" i="9"/>
  <c r="E16" i="9"/>
  <c r="D16" i="9"/>
  <c r="C16" i="9"/>
  <c r="B16" i="9"/>
  <c r="I15" i="9"/>
  <c r="H15" i="9"/>
  <c r="G15" i="9"/>
  <c r="F15" i="9"/>
  <c r="E15" i="9"/>
  <c r="D15" i="9"/>
  <c r="C15" i="9"/>
  <c r="B15" i="9"/>
  <c r="I14" i="9"/>
  <c r="H14" i="9"/>
  <c r="G14" i="9"/>
  <c r="F14" i="9"/>
  <c r="E14" i="9"/>
  <c r="D14" i="9"/>
  <c r="C14" i="9"/>
  <c r="B14" i="9"/>
  <c r="I13" i="9"/>
  <c r="H13" i="9"/>
  <c r="G13" i="9"/>
  <c r="F13" i="9"/>
  <c r="E13" i="9"/>
  <c r="D13" i="9"/>
  <c r="C13" i="9"/>
  <c r="B13" i="9"/>
  <c r="I12" i="9"/>
  <c r="H12" i="9"/>
  <c r="G12" i="9"/>
  <c r="F12" i="9"/>
  <c r="E12" i="9"/>
  <c r="D12" i="9"/>
  <c r="C12" i="9"/>
  <c r="B12" i="9"/>
  <c r="I11" i="9"/>
  <c r="H11" i="9"/>
  <c r="G11" i="9"/>
  <c r="F11" i="9"/>
  <c r="E11" i="9"/>
  <c r="D11" i="9"/>
  <c r="C11" i="9"/>
  <c r="B11" i="9"/>
  <c r="I10" i="9"/>
  <c r="H10" i="9"/>
  <c r="G10" i="9"/>
  <c r="F10" i="9"/>
  <c r="E10" i="9"/>
  <c r="D10" i="9"/>
  <c r="C10" i="9"/>
  <c r="B10" i="9"/>
  <c r="I9" i="9"/>
  <c r="H9" i="9"/>
  <c r="G9" i="9"/>
  <c r="F9" i="9"/>
  <c r="E9" i="9"/>
  <c r="D9" i="9"/>
  <c r="C9" i="9"/>
  <c r="B9" i="9"/>
  <c r="C34" i="8"/>
  <c r="C33" i="8"/>
  <c r="C32" i="8"/>
  <c r="C31" i="8"/>
  <c r="C30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C36" i="8" s="1"/>
  <c r="F29" i="7"/>
  <c r="C15" i="7"/>
  <c r="G14" i="7"/>
  <c r="G13" i="7"/>
  <c r="G12" i="7"/>
  <c r="G11" i="7"/>
  <c r="G10" i="7"/>
  <c r="G9" i="7"/>
  <c r="G8" i="7"/>
  <c r="G7" i="7"/>
  <c r="G6" i="7"/>
  <c r="G5" i="7"/>
  <c r="C29" i="7" s="1"/>
  <c r="E19" i="5"/>
  <c r="D19" i="5"/>
  <c r="C19" i="5"/>
  <c r="E18" i="5"/>
  <c r="D18" i="5"/>
  <c r="C18" i="5"/>
  <c r="D6" i="4"/>
  <c r="C25" i="3"/>
  <c r="C24" i="3"/>
  <c r="D23" i="3"/>
  <c r="C23" i="3"/>
  <c r="D22" i="3"/>
  <c r="C22" i="3"/>
  <c r="C21" i="3"/>
  <c r="D16" i="3"/>
  <c r="C10" i="6" s="1"/>
  <c r="C16" i="3"/>
  <c r="B9" i="4" s="1"/>
  <c r="E12" i="3"/>
  <c r="E24" i="3" s="1"/>
  <c r="D12" i="3"/>
  <c r="D24" i="3" s="1"/>
  <c r="C12" i="3"/>
  <c r="E57" i="2"/>
  <c r="D6" i="6" s="1"/>
  <c r="D57" i="2"/>
  <c r="C6" i="4" s="1"/>
  <c r="C57" i="2"/>
  <c r="B6" i="6" s="1"/>
  <c r="E54" i="2"/>
  <c r="D54" i="2"/>
  <c r="C54" i="2"/>
  <c r="E45" i="2"/>
  <c r="D45" i="2"/>
  <c r="C45" i="2"/>
  <c r="E34" i="2"/>
  <c r="E35" i="2" s="1"/>
  <c r="D34" i="2"/>
  <c r="D35" i="2" s="1"/>
  <c r="C34" i="2"/>
  <c r="C35" i="2" s="1"/>
  <c r="E14" i="2"/>
  <c r="E56" i="2" s="1"/>
  <c r="E13" i="2"/>
  <c r="D13" i="2"/>
  <c r="D14" i="2" s="1"/>
  <c r="D56" i="2" s="1"/>
  <c r="C13" i="2"/>
  <c r="C14" i="2" s="1"/>
  <c r="C56" i="2" s="1"/>
  <c r="B5" i="4" l="1"/>
  <c r="C58" i="2"/>
  <c r="B5" i="6" s="1"/>
  <c r="D5" i="4"/>
  <c r="D7" i="4" s="1"/>
  <c r="E58" i="2"/>
  <c r="D5" i="6" s="1"/>
  <c r="D9" i="6" s="1"/>
  <c r="B4" i="9"/>
  <c r="C5" i="4"/>
  <c r="C7" i="4" s="1"/>
  <c r="D58" i="2"/>
  <c r="C5" i="6" s="1"/>
  <c r="F9" i="10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D21" i="3"/>
  <c r="D25" i="3" s="1"/>
  <c r="C9" i="4"/>
  <c r="E20" i="5"/>
  <c r="E21" i="5" s="1"/>
  <c r="D7" i="6" s="1"/>
  <c r="C6" i="6"/>
  <c r="B10" i="6"/>
  <c r="G17" i="7"/>
  <c r="C19" i="7" s="1"/>
  <c r="C35" i="8"/>
  <c r="E16" i="3"/>
  <c r="E21" i="3"/>
  <c r="E25" i="3" s="1"/>
  <c r="B6" i="4"/>
  <c r="E22" i="3"/>
  <c r="C20" i="5"/>
  <c r="C21" i="5" s="1"/>
  <c r="B7" i="6" s="1"/>
  <c r="E23" i="3"/>
  <c r="D20" i="5"/>
  <c r="D21" i="5" s="1"/>
  <c r="C7" i="6" s="1"/>
  <c r="B9" i="6" l="1"/>
  <c r="B11" i="6" s="1"/>
  <c r="C11" i="4"/>
  <c r="C13" i="4"/>
  <c r="D10" i="6"/>
  <c r="D11" i="6" s="1"/>
  <c r="D9" i="4"/>
  <c r="F30" i="10"/>
  <c r="F31" i="10"/>
  <c r="C9" i="6"/>
  <c r="C11" i="6" s="1"/>
  <c r="B7" i="4"/>
  <c r="D15" i="6" l="1"/>
  <c r="D14" i="6"/>
  <c r="D13" i="4"/>
  <c r="D11" i="4"/>
  <c r="B13" i="4"/>
  <c r="B11" i="4"/>
  <c r="C15" i="6"/>
  <c r="C14" i="6"/>
  <c r="B18" i="6" s="1"/>
  <c r="B14" i="6"/>
  <c r="B15" i="6"/>
</calcChain>
</file>

<file path=xl/sharedStrings.xml><?xml version="1.0" encoding="utf-8"?>
<sst xmlns="http://schemas.openxmlformats.org/spreadsheetml/2006/main" count="725" uniqueCount="580">
  <si>
    <t>KNNO Coffee — Phase Financials &amp; Risk Workbook</t>
  </si>
  <si>
    <t>v2 · 2026-05-11 · Phase 1 prep list aligned with user-supplied equipment + certs requirements</t>
  </si>
  <si>
    <t>How to use this workbook</t>
  </si>
  <si>
    <t>Color convention</t>
  </si>
  <si>
    <t>BLUE = inputs you change · BLACK = formulas · GREEN = cross-sheet references · YELLOW background = key assumptions to revisit</t>
  </si>
  <si>
    <t>Update sequence</t>
  </si>
  <si>
    <t>1. Review Phase 1 Budget (line items now mirror your prep list).  2. Update Phase 1 Revenue assumptions.  3. After carboot pop-ups, enter Decision Gate actuals.  4. Read decision flag.</t>
  </si>
  <si>
    <t>Currency</t>
  </si>
  <si>
    <t>All figures in RM (Malaysian Ringgit) unless stated.</t>
  </si>
  <si>
    <t>What changed in v2</t>
  </si>
  <si>
    <t>Sub-phase 1B rewritten to match your actual prep list (proper coffee cart with water pump+sink, 4 drippers, brand banner, etc.). New Sub-phase 1D for certs (typhoid jab, food handling permit, car boot permit). Phase 2 capex reduced where Phase 1 already covers (cart, brand identity).</t>
  </si>
  <si>
    <t>Sheet</t>
  </si>
  <si>
    <t>Purpose</t>
  </si>
  <si>
    <t>1. README</t>
  </si>
  <si>
    <t>This sheet</t>
  </si>
  <si>
    <t>2. P1 Budget</t>
  </si>
  <si>
    <t>Indonesia R&amp;D + Carboot prep (your prep list) + Carboot ops + Certs. Min/Base/Max ranges.</t>
  </si>
  <si>
    <t>3. P1 Revenue</t>
  </si>
  <si>
    <t>Carboot pop-up revenue model. 3 scenarios (Bear/Base/Bull). 4 pop-ups.</t>
  </si>
  <si>
    <t>4. P1 Net Cash</t>
  </si>
  <si>
    <t>Net cash after Phase 1 = revenue − cost. Reusable equipment carry-over.</t>
  </si>
  <si>
    <t>5. P2 Capex</t>
  </si>
  <si>
    <t>Build phase capex (reduced — cart and brand identity already in Phase 1).</t>
  </si>
  <si>
    <t>6. Combined Capex</t>
  </si>
  <si>
    <t>Master view: P1 + P2 vs RM 15K budget. Trim options.</t>
  </si>
  <si>
    <t>7. Decision Gate</t>
  </si>
  <si>
    <t>P1→P2 weighted scoring. 10 criteria. Auto-classifies GO / HOLD / NO-GO.</t>
  </si>
  <si>
    <t>8. P1 Risks</t>
  </si>
  <si>
    <t>Phase 1 risk register. L×I = score. Auto-coloured.</t>
  </si>
  <si>
    <t>9. P1 Sensitivity</t>
  </si>
  <si>
    <t>Cups × ticket revenue matrix vs Phase 1 cost.</t>
  </si>
  <si>
    <t>10. Cash Tracker</t>
  </si>
  <si>
    <t>Week -8 → +12 running cash position.</t>
  </si>
  <si>
    <t>Decision rules</t>
  </si>
  <si>
    <t>Sheet 7 thresholds: ≥85% = GO. 70–85% = GO with cautions. 55–70% = HOLD. &lt;55% = NO-GO.</t>
  </si>
  <si>
    <t>Linked vault docs</t>
  </si>
  <si>
    <t>08-Action Plan &amp; Timeline.md · 09-Financial Projections (Conservative).md · 07-Risks &amp; Failure Modes.md · 02-Market Analysis &amp; Validation.md · 06-Suppliers &amp; Co-Roasting.md</t>
  </si>
  <si>
    <t xml:space="preserve">   PHASE 1 BUDGET — Indonesia R&amp;D + Carboot Validation (v2 — your prep list)</t>
  </si>
  <si>
    <t>All RM. Min/Base/Max are honest range estimates. "Reusable" = carries into Phase 2 (reduces P2 capex).</t>
  </si>
  <si>
    <t xml:space="preserve">   Sub-phase 1A — F1 to Indonesia (~10–14 days)</t>
  </si>
  <si>
    <t>#</t>
  </si>
  <si>
    <t>Line item</t>
  </si>
  <si>
    <t>Min</t>
  </si>
  <si>
    <t>Base</t>
  </si>
  <si>
    <t>Max</t>
  </si>
  <si>
    <t>Reusable?</t>
  </si>
  <si>
    <t>Notes</t>
  </si>
  <si>
    <t>1A.1</t>
  </si>
  <si>
    <t>Flight to Bandung (return, AirAsia/MAS economy)</t>
  </si>
  <si>
    <t>No</t>
  </si>
  <si>
    <t>Book 4+ weeks ahead</t>
  </si>
  <si>
    <t>1A.2</t>
  </si>
  <si>
    <t>Accommodation 7–10 nights</t>
  </si>
  <si>
    <t>Guesthouse / mid Airbnb</t>
  </si>
  <si>
    <t>1A.3</t>
  </si>
  <si>
    <t>Roastery rental fees (sample roaster)</t>
  </si>
  <si>
    <t>Producer site = often free</t>
  </si>
  <si>
    <t>1A.4</t>
  </si>
  <si>
    <t>Green coffee bought in Indonesia (8–12 kg)</t>
  </si>
  <si>
    <t>Partial</t>
  </si>
  <si>
    <t>5–8 kg flows to Phase 2 production</t>
  </si>
  <si>
    <t>1A.5</t>
  </si>
  <si>
    <t>Local transport (Grab, Gojek, intercity)</t>
  </si>
  <si>
    <t>10–14 days of movement</t>
  </si>
  <si>
    <t>1A.6</t>
  </si>
  <si>
    <t>Food &amp; per diem (~RM 60–80/day × 10 days)</t>
  </si>
  <si>
    <t>Local meals</t>
  </si>
  <si>
    <t>1A.7</t>
  </si>
  <si>
    <t>Vacuum bags + import declaration prep</t>
  </si>
  <si>
    <t>Packaging for transit</t>
  </si>
  <si>
    <t>1A.8</t>
  </si>
  <si>
    <t>Contingency (10% of itemised)</t>
  </si>
  <si>
    <t>Standard 10% buffer</t>
  </si>
  <si>
    <t>Sub-phase 1A subtotal</t>
  </si>
  <si>
    <t xml:space="preserve">   Sub-phase 1B — Coffee Cart + Equipment Prep (your prep list)</t>
  </si>
  <si>
    <t>1B.1</t>
  </si>
  <si>
    <t>Coffee cart with water pump + sink (mobile, manual-brew config)</t>
  </si>
  <si>
    <t>Yes</t>
  </si>
  <si>
    <t>Carries into Phase 2; may need finish/upgrade in P2</t>
  </si>
  <si>
    <t>1B.2</t>
  </si>
  <si>
    <t>Glassware (cupping/serving glasses, demitasses, tasters)</t>
  </si>
  <si>
    <t>For carboot cupping moments + flight serves</t>
  </si>
  <si>
    <t>1B.3</t>
  </si>
  <si>
    <t>Paper / plastic cups + lids (initial 250 units)</t>
  </si>
  <si>
    <t>Generic at first; branded sleeves over the top</t>
  </si>
  <si>
    <t>1B.4</t>
  </si>
  <si>
    <t>Hand grinder (Comandante or equivalent)</t>
  </si>
  <si>
    <t>Reusable as filter/backup grinder in Phase 2</t>
  </si>
  <si>
    <t>1B.5</t>
  </si>
  <si>
    <t>V60 drippers ×3 — Hario Switch where possible</t>
  </si>
  <si>
    <t>Switches enable hybrid immersion-percolation; speeds parallel service</t>
  </si>
  <si>
    <t>1B.6</t>
  </si>
  <si>
    <t>Origami dripper ×1 (4th total dripper)</t>
  </si>
  <si>
    <t>Different geometry/profile vs V60s</t>
  </si>
  <si>
    <t>1B.7</t>
  </si>
  <si>
    <t>V60 + Origami servers/jugs (×4)</t>
  </si>
  <si>
    <t>Hario range server or equivalent</t>
  </si>
  <si>
    <t>1B.8</t>
  </si>
  <si>
    <t>Brewista kettle (electric gooseneck)</t>
  </si>
  <si>
    <t>Variable-temp model preferred</t>
  </si>
  <si>
    <t>1B.9</t>
  </si>
  <si>
    <t>Paper filters (V60 02 + Origami, initial stock)</t>
  </si>
  <si>
    <t>Replenished per pop-up</t>
  </si>
  <si>
    <t>1B.10</t>
  </si>
  <si>
    <t>Brewing scales ×2 (Acaia / Hario)</t>
  </si>
  <si>
    <t>Two scales for parallel brewing</t>
  </si>
  <si>
    <t>1B.11</t>
  </si>
  <si>
    <t>Brand identity full delivery (logo + ID system v1, full not deposit)</t>
  </si>
  <si>
    <t>Required so banner + lot cards carry KNNO design</t>
  </si>
  <si>
    <t>1B.12</t>
  </si>
  <si>
    <t>Branded banner (vinyl, with brandkit + design)</t>
  </si>
  <si>
    <t>Vinyl banner ~2m×1m, retractable stand if possible</t>
  </si>
  <si>
    <t>1B.13</t>
  </si>
  <si>
    <t>Lot story cards (60 prints, on-brand)</t>
  </si>
  <si>
    <t>Print-on-demand once brand v1 delivered</t>
  </si>
  <si>
    <t>1B.14</t>
  </si>
  <si>
    <t>Foldable seats ×4 (small bistro stools)</t>
  </si>
  <si>
    <t>Customer dwell + brand dwell time</t>
  </si>
  <si>
    <t>1B.15</t>
  </si>
  <si>
    <t>Foldable small tables ×2</t>
  </si>
  <si>
    <t>For seated customers + display</t>
  </si>
  <si>
    <t>1B.16</t>
  </si>
  <si>
    <t>IG poll/V2 + V5 small ad amplification</t>
  </si>
  <si>
    <t>Optional small boost</t>
  </si>
  <si>
    <t>1B.17</t>
  </si>
  <si>
    <t>Sub-phase 1B subtotal</t>
  </si>
  <si>
    <t xml:space="preserve">   Sub-phase 1C — Carboot Validation Pop-Ups (4 events, ops-only)</t>
  </si>
  <si>
    <t>1C.1</t>
  </si>
  <si>
    <t>Venue fees (4 events; mostly free, 1–2 paid)</t>
  </si>
  <si>
    <t>Friend cafes free; small market sublet RM 100–200</t>
  </si>
  <si>
    <t>1C.2</t>
  </si>
  <si>
    <t>Per-event consumables: extra cups, lids, sleeves (4 events)</t>
  </si>
  <si>
    <t>Beyond initial stock in 1B.3</t>
  </si>
  <si>
    <t>1C.3</t>
  </si>
  <si>
    <t>Milk + oat milk (4 events)</t>
  </si>
  <si>
    <t>~1L per event, whole + oat</t>
  </si>
  <si>
    <t>1C.4</t>
  </si>
  <si>
    <t>Transport / Grab / fuel (4 events)</t>
  </si>
  <si>
    <t>Cart kit transport</t>
  </si>
  <si>
    <t>1C.5</t>
  </si>
  <si>
    <t>Sundries (napkins, sanitiser, bin liners, water cups)</t>
  </si>
  <si>
    <t>Bulk-buy once</t>
  </si>
  <si>
    <t>1C.6</t>
  </si>
  <si>
    <t>Validation V1 reward (30 friends taste test)</t>
  </si>
  <si>
    <t>Optional thank-you</t>
  </si>
  <si>
    <t>Sub-phase 1C subtotal</t>
  </si>
  <si>
    <t xml:space="preserve">   Sub-phase 1D — Certs &amp; Permits (your prep list)</t>
  </si>
  <si>
    <t>1D.1</t>
  </si>
  <si>
    <t>Typhoid vaccination + cert (×2 founders)</t>
  </si>
  <si>
    <t>KKM food handler health screening; ~RM 80–150 per person</t>
  </si>
  <si>
    <t>1D.2</t>
  </si>
  <si>
    <t>Food handling permit + course (×2 founders)</t>
  </si>
  <si>
    <t>KKM food handler course + permit; ~RM 30–80 per person</t>
  </si>
  <si>
    <t>1D.3</t>
  </si>
  <si>
    <t>Car Boot / Roving Hawker permit (DBKL or local council)</t>
  </si>
  <si>
    <t>Validity period varies; renew annually</t>
  </si>
  <si>
    <t>1D.4</t>
  </si>
  <si>
    <t>Public liability insurance (1st year)</t>
  </si>
  <si>
    <t>Covers carboot + Phase 2 cart events</t>
  </si>
  <si>
    <t>1D.5</t>
  </si>
  <si>
    <t>SSM business registration (Sole Prop or Sdn Bhd)</t>
  </si>
  <si>
    <t>Sole Prop = RM 60/yr; Sdn Bhd = RM 1K+ setup</t>
  </si>
  <si>
    <t>Sub-phase 1D subtotal</t>
  </si>
  <si>
    <t>PHASE 1 TOTAL OUT-OF-POCKET</t>
  </si>
  <si>
    <t>of which: Reusable equipment (carries to Phase 2)</t>
  </si>
  <si>
    <t>Phase 1 NET burn (out-of-pocket less reusable equipment)</t>
  </si>
  <si>
    <t>Tip: change BLUE inputs above (Min/Base/Max). Subtotals + totals recalculate automatically.</t>
  </si>
  <si>
    <t xml:space="preserve">   PHASE 1 REVENUE — Carboot Pop-Ups (4 events)</t>
  </si>
  <si>
    <t>Per-event scenarios. BLUE = inputs.</t>
  </si>
  <si>
    <t xml:space="preserve">   Per-Pop-Up Assumptions</t>
  </si>
  <si>
    <t>Variable</t>
  </si>
  <si>
    <t>Bear</t>
  </si>
  <si>
    <t>Bull</t>
  </si>
  <si>
    <t>R.1</t>
  </si>
  <si>
    <t>Cups served per pop-up</t>
  </si>
  <si>
    <t>Bear=friends only · Base=walk-up converts · Bull=well-attended venue</t>
  </si>
  <si>
    <t>R.2</t>
  </si>
  <si>
    <t>Avg ticket price (RM/cup)</t>
  </si>
  <si>
    <t>Carboot pricing — slightly under Phase 4 menu</t>
  </si>
  <si>
    <t>R.3</t>
  </si>
  <si>
    <t>Bag sales per pop-up (units)</t>
  </si>
  <si>
    <t>Pre-bagged 100g samplers</t>
  </si>
  <si>
    <t>R.4</t>
  </si>
  <si>
    <t>Avg bag price (RM)</t>
  </si>
  <si>
    <t>Lo-fi 100g sampler</t>
  </si>
  <si>
    <t>R.5</t>
  </si>
  <si>
    <t>Tip / extra contribution (avg RM/cup)</t>
  </si>
  <si>
    <t>Optional tip jar</t>
  </si>
  <si>
    <t>Per pop-up revenue</t>
  </si>
  <si>
    <t>R.6</t>
  </si>
  <si>
    <t>Number of pop-ups in Phase 1</t>
  </si>
  <si>
    <t>Per action plan §4 sub-phase 1C</t>
  </si>
  <si>
    <t>PHASE 1 TOTAL REVENUE (all 4 pop-ups)</t>
  </si>
  <si>
    <t xml:space="preserve">   Per-Pop-Up Detail (4 events)</t>
  </si>
  <si>
    <t>Event</t>
  </si>
  <si>
    <t>Venue type</t>
  </si>
  <si>
    <t>Pop-up #1</t>
  </si>
  <si>
    <t>Friend office tower lobby (Wed)</t>
  </si>
  <si>
    <t>Lower foot traffic; office crowd</t>
  </si>
  <si>
    <t>Pop-up #2</t>
  </si>
  <si>
    <t>Friend cafe carpark/patio (Sat)</t>
  </si>
  <si>
    <t>Weekend; established cafe traffic</t>
  </si>
  <si>
    <t>Pop-up #3</t>
  </si>
  <si>
    <t>Creative space courtyard (Sun)</t>
  </si>
  <si>
    <t>Tests new audience</t>
  </si>
  <si>
    <t>Pop-up #4</t>
  </si>
  <si>
    <t>Strongest venue repeat OR new format</t>
  </si>
  <si>
    <t>Repeat builds repeat-rate signal</t>
  </si>
  <si>
    <t>Sum check</t>
  </si>
  <si>
    <t>Note: each pop-up modelled at average per-event revenue. Real variance high — Pop-up #1 likely under, #2/#4 likely over.</t>
  </si>
  <si>
    <t xml:space="preserve">   PHASE 1 NET CASH POSITION — Combined view</t>
  </si>
  <si>
    <t>Pulls from sheets 2 (Budget) and 3 (Revenue). Shows net burn after carboot revenue.</t>
  </si>
  <si>
    <t>Component</t>
  </si>
  <si>
    <t>Phase 1 Cost (Total out-of-pocket)</t>
  </si>
  <si>
    <t>Min=Bear, Max=Bull</t>
  </si>
  <si>
    <t xml:space="preserve">  Less: Reusable equipment (carries to Phase 2)</t>
  </si>
  <si>
    <t>Investment, not lost spend</t>
  </si>
  <si>
    <t>Phase 1 NET equipment burn</t>
  </si>
  <si>
    <t>True cost lost in Phase 1</t>
  </si>
  <si>
    <t>Phase 1 Revenue (4 carboot pop-ups)</t>
  </si>
  <si>
    <t>From P1 Revenue sheet</t>
  </si>
  <si>
    <t>NET CASH POSITION after Phase 1 (revenue − net burn)</t>
  </si>
  <si>
    <t>Negative = expected for validation phase</t>
  </si>
  <si>
    <t>Phase 1 Cash Recovery Rate (Revenue / Net Burn)</t>
  </si>
  <si>
    <t>&gt;50% = strong validation pricing power</t>
  </si>
  <si>
    <t>Reading the result</t>
  </si>
  <si>
    <t>•  Negative net cash after Phase 1 is EXPECTED. Phase 1 is validation, not revenue.</t>
  </si>
  <si>
    <t>•  Net burn in v2 is HIGHER than v1 — your prep list (proper cart, branded banner, 4 drippers, certs) is ~RM 4–5K more than the lo-fi v1 estimate. Reusable equipment offsets most of this in Phase 2.</t>
  </si>
  <si>
    <t>•  Cash Recovery Rate &gt;50% = strong pricing power signal. &lt;30% = revisit Phase 4 pricing.</t>
  </si>
  <si>
    <t>•  The NET equipment burn (truly "lost") is much smaller than the out-of-pocket cost, because most equipment carries to Phase 2.</t>
  </si>
  <si>
    <t xml:space="preserve">   PHASE 2 BUILD CAPEX — Reduced (cart and brand identity carry from Phase 1)</t>
  </si>
  <si>
    <t>Phase 2 launches once Phase 1 Decision Gate clears. Items already covered in Phase 1 are reduced or removed.</t>
  </si>
  <si>
    <t>Carry from P1?</t>
  </si>
  <si>
    <t>2.01</t>
  </si>
  <si>
    <t>Cart upgrade/finish (cart base from Phase 1, finish + signage)</t>
  </si>
  <si>
    <t>Yes (base)</t>
  </si>
  <si>
    <t>Phase 1 cart upgraded for full menu; not full new cart</t>
  </si>
  <si>
    <t>2.02</t>
  </si>
  <si>
    <t>Espresso machine (1-group, used or new)</t>
  </si>
  <si>
    <t>Used La Marzocco / ECM ~RM 4,500</t>
  </si>
  <si>
    <t>2.03</t>
  </si>
  <si>
    <t>Espresso grinder (Eureka / Niche)</t>
  </si>
  <si>
    <t>Filter grinder = Phase 1 Comandante</t>
  </si>
  <si>
    <t>2.04</t>
  </si>
  <si>
    <t>Brewing tools — espresso accessories only (tamper, distrib, knockbox)</t>
  </si>
  <si>
    <t>V60s/Origami/scales/kettle from Phase 1</t>
  </si>
  <si>
    <t>2.05</t>
  </si>
  <si>
    <t>Initial green coffee inventory (top-up beyond P1 trip)</t>
  </si>
  <si>
    <t>P1 trip brought 5–8 kg; this is the top-up</t>
  </si>
  <si>
    <t>2.06</t>
  </si>
  <si>
    <t>Co-roasting first 2 months (CR KL)</t>
  </si>
  <si>
    <t>1 session/wk × 8 weeks at RM 100–225/session</t>
  </si>
  <si>
    <t>2.07</t>
  </si>
  <si>
    <t>Brand photography day shoot</t>
  </si>
  <si>
    <t>Brand identity already paid in P1 — only photo here</t>
  </si>
  <si>
    <t>2.08</t>
  </si>
  <si>
    <t>Packaging — cups, sleeves, bags first production run</t>
  </si>
  <si>
    <t>1,000 units first run</t>
  </si>
  <si>
    <t>2.09</t>
  </si>
  <si>
    <t>Cold brew kegs + cold brew kit</t>
  </si>
  <si>
    <t>5L mini-keg ×2</t>
  </si>
  <si>
    <t>2.10</t>
  </si>
  <si>
    <t>Marketing launch (boost, micro-influencer)</t>
  </si>
  <si>
    <t>IG/TikTok boosted posts month 1</t>
  </si>
  <si>
    <t>2.11</t>
  </si>
  <si>
    <t>Soft-launch venue sublet (1–2 events)</t>
  </si>
  <si>
    <t>Friend cafe sublet</t>
  </si>
  <si>
    <t>2.12</t>
  </si>
  <si>
    <t>Cart consumables first month (milk, water, etc.)</t>
  </si>
  <si>
    <t>First-month operating</t>
  </si>
  <si>
    <t>2.13</t>
  </si>
  <si>
    <t>Equipment service / first-month maintenance reserve</t>
  </si>
  <si>
    <t>Backflush cleaner, gaskets, tools</t>
  </si>
  <si>
    <t>2.14</t>
  </si>
  <si>
    <t>Phase 2 GROSS capex (before P1 carry-over credit)</t>
  </si>
  <si>
    <t xml:space="preserve">  Less: Reusable equipment from Phase 1 (already paid)</t>
  </si>
  <si>
    <t>PHASE 2 NET CAPEX (new spend in Phase 2)</t>
  </si>
  <si>
    <t xml:space="preserve">   COMBINED CAPEX — Phase 1 + Phase 2 vs RM 15K Budget</t>
  </si>
  <si>
    <t>The honest "what does it really cost to launch KNNO?" view. v2 reflects your full prep list.</t>
  </si>
  <si>
    <t>Phase 1 NET equipment burn (true cost lost)</t>
  </si>
  <si>
    <t>Out-of-pocket less reusable equipment</t>
  </si>
  <si>
    <t>Phase 1 Reusable equipment (becomes Phase 2 capex)</t>
  </si>
  <si>
    <t>Cart, drippers, grinder, kettle, scales, brand ID, banner, seats, tables</t>
  </si>
  <si>
    <t>Phase 2 NET capex (new spend after carry-over)</t>
  </si>
  <si>
    <t>Espresso, photography, packaging, marketing, etc.</t>
  </si>
  <si>
    <t>TOTAL LAUNCH CAPEX (P1 burn + P1 reusable + P2 net)</t>
  </si>
  <si>
    <t>The honest number</t>
  </si>
  <si>
    <t xml:space="preserve">  Less: Phase 1 carboot revenue offset</t>
  </si>
  <si>
    <t>Carboot sales partially fund the launch</t>
  </si>
  <si>
    <t>NET LAUNCH CAPEX after carboot revenue</t>
  </si>
  <si>
    <t>What you actually need in the bank</t>
  </si>
  <si>
    <t>Available capital (your RM 15K)</t>
  </si>
  <si>
    <t>Per the brief</t>
  </si>
  <si>
    <t>Surplus / (Shortfall) vs RM 15K</t>
  </si>
  <si>
    <t>Negative = need more capital or trim</t>
  </si>
  <si>
    <t>% of capital used</t>
  </si>
  <si>
    <t>&gt;100% = over-budget</t>
  </si>
  <si>
    <t xml:space="preserve">   Funding Status (Base scenario)</t>
  </si>
  <si>
    <t>Status flag</t>
  </si>
  <si>
    <t xml:space="preserve">   Trim Options (apply if base shows shortfall)</t>
  </si>
  <si>
    <t>Trim option</t>
  </si>
  <si>
    <t>Saves</t>
  </si>
  <si>
    <t>Trade-off</t>
  </si>
  <si>
    <t>Buy used espresso machine (vs new)</t>
  </si>
  <si>
    <t>~RM 1,500–2,500</t>
  </si>
  <si>
    <t>Quality risk; service network harder</t>
  </si>
  <si>
    <t>Cart with water pump but NO sink (use 5L water tank)</t>
  </si>
  <si>
    <t>~RM 500–800</t>
  </si>
  <si>
    <t>Less convenient cleanup at venue</t>
  </si>
  <si>
    <t>Defer espresso entirely until month 3 (manual brew launch)</t>
  </si>
  <si>
    <t>~RM 4,500+</t>
  </si>
  <si>
    <t>Possible if Phase 1 shows manual handles cup count</t>
  </si>
  <si>
    <t>Trim packaging first run from 1,000 to 500 units</t>
  </si>
  <si>
    <t>~RM 400–600</t>
  </si>
  <si>
    <t>More frequent reorders</t>
  </si>
  <si>
    <t>Defer brand photo shoot to month 2</t>
  </si>
  <si>
    <t>~RM 600</t>
  </si>
  <si>
    <t>Use Phase 1 carboot photos as launch material</t>
  </si>
  <si>
    <t>Sole Prop instead of Sdn Bhd</t>
  </si>
  <si>
    <t>~RM 900</t>
  </si>
  <si>
    <t>Less liability protection; still legally OK for cart-format</t>
  </si>
  <si>
    <t>3 V60s instead of 4 (skip Origami)</t>
  </si>
  <si>
    <t>~RM 200</t>
  </si>
  <si>
    <t>Lose process variety</t>
  </si>
  <si>
    <t>Foldable seats only — skip tables</t>
  </si>
  <si>
    <t>~RM 300</t>
  </si>
  <si>
    <t>Less customer dwell setup</t>
  </si>
  <si>
    <t xml:space="preserve">   PHASE 1 → PHASE 2 DECISION GATE — Weighted Scoring</t>
  </si>
  <si>
    <t>Run after all 4 carboot pop-ups. Enter ACTUALS in BLUE column F. Score auto-classifies GO / HOLD / NO-GO.</t>
  </si>
  <si>
    <t>Criterion</t>
  </si>
  <si>
    <t>Weight</t>
  </si>
  <si>
    <t>Target</t>
  </si>
  <si>
    <t>Direction</t>
  </si>
  <si>
    <t>Actual</t>
  </si>
  <si>
    <t>Score</t>
  </si>
  <si>
    <t>G.1</t>
  </si>
  <si>
    <t>Total cups served (across 4 pop-ups)</t>
  </si>
  <si>
    <t>higher</t>
  </si>
  <si>
    <t>Bear=120 · Base=200 · Bull=280</t>
  </si>
  <si>
    <t>G.2</t>
  </si>
  <si>
    <t>Stop-rate at unfamiliar venues (% of foot traffic)</t>
  </si>
  <si>
    <t>higher_pct</t>
  </si>
  <si>
    <t>Strangers stopping; not friends</t>
  </si>
  <si>
    <t>G.3</t>
  </si>
  <si>
    <t>Repeat faces named (came back 2+ times)</t>
  </si>
  <si>
    <t>Critical leading indicator</t>
  </si>
  <si>
    <t>G.4</t>
  </si>
  <si>
    <t>Avg ticket (RM/cup)</t>
  </si>
  <si>
    <t>higher_curr</t>
  </si>
  <si>
    <t>Confirms RM 12+ price tolerance</t>
  </si>
  <si>
    <t>G.5</t>
  </si>
  <si>
    <t>Cup quality score (% of cups ≥3/4 internal)</t>
  </si>
  <si>
    <t>Internal cupping during Phase 1</t>
  </si>
  <si>
    <t>G.6</t>
  </si>
  <si>
    <t>Critical defects served (count) — INVERTED</t>
  </si>
  <si>
    <t>lower</t>
  </si>
  <si>
    <t>Any &gt; 0 reduces score; target = zero</t>
  </si>
  <si>
    <t>G.7</t>
  </si>
  <si>
    <t>Founder enjoyment avg (1–10)</t>
  </si>
  <si>
    <t>Burnout / sustainability check</t>
  </si>
  <si>
    <t>G.8</t>
  </si>
  <si>
    <t>Sustainable workload — both could do 3 days/wk? (1=Yes, 0=No)</t>
  </si>
  <si>
    <t>binary</t>
  </si>
  <si>
    <t>Honest answer</t>
  </si>
  <si>
    <t>G.9</t>
  </si>
  <si>
    <t>Indonesian-roasted vs CR KL cup parity (1=parity, 0=not)</t>
  </si>
  <si>
    <t>Validates Indonesia R&amp;D approach</t>
  </si>
  <si>
    <t>G.10</t>
  </si>
  <si>
    <t>QR scan rate per cup (% of customers)</t>
  </si>
  <si>
    <t>Validates funnel into bag sales / IG</t>
  </si>
  <si>
    <t>Weights sum check (must = 100%)</t>
  </si>
  <si>
    <t>TOTAL WEIGHTED SCORE</t>
  </si>
  <si>
    <t>DECISION</t>
  </si>
  <si>
    <t xml:space="preserve">   Threshold Reference</t>
  </si>
  <si>
    <t>≥ 85%</t>
  </si>
  <si>
    <t>GO — proceed to Phase 2 with confidence</t>
  </si>
  <si>
    <t>70–84%</t>
  </si>
  <si>
    <t>GO with cautions — address weakest criteria first</t>
  </si>
  <si>
    <t>55–69%</t>
  </si>
  <si>
    <t>HOLD — re-test 2 weeks with adjusted variables</t>
  </si>
  <si>
    <t>&lt; 55%</t>
  </si>
  <si>
    <t>NO-GO — consider pivot to online-only OR extend validation 4–6 weeks</t>
  </si>
  <si>
    <t xml:space="preserve">   Diagnostic: Worst-Performing Criteria</t>
  </si>
  <si>
    <t>Lowest score</t>
  </si>
  <si>
    <t>Number of criteria below 50%</t>
  </si>
  <si>
    <t>Note: defaults are set to TARGETS so the workbook opens at "GO with confidence." Replace BLUE actuals with real measurements after Phase 1 pop-ups.</t>
  </si>
  <si>
    <t xml:space="preserve">   PHASE 1 RISK REGISTER — Indonesia trip + Carboot specifics</t>
  </si>
  <si>
    <t>Likelihood (1–5) × Impact (1–5) = Score (out of 25). ≥15 = critical, 9–14 = high, 4–8 = medium, ≤3 = low.</t>
  </si>
  <si>
    <t>Risk</t>
  </si>
  <si>
    <t>Likelihood (1–5)</t>
  </si>
  <si>
    <t>Impact (1–5)</t>
  </si>
  <si>
    <t>Mitigation</t>
  </si>
  <si>
    <t>Owner</t>
  </si>
  <si>
    <t>Status</t>
  </si>
  <si>
    <t>R.01</t>
  </si>
  <si>
    <t>Producer cancels in-person visit at last minute</t>
  </si>
  <si>
    <t>Confirm in writing 14d ahead; backup producer; rental roastery as Plan B</t>
  </si>
  <si>
    <t>F1</t>
  </si>
  <si>
    <t>Open</t>
  </si>
  <si>
    <t>R.02</t>
  </si>
  <si>
    <t>Customs / personal import issue with roasted/green</t>
  </si>
  <si>
    <t>Verify MOH+Customs rules pre-flight; declare honestly; carry receipts; volume kept clearly personal</t>
  </si>
  <si>
    <t>R.03</t>
  </si>
  <si>
    <t>F1 illness during Indonesia trip</t>
  </si>
  <si>
    <t>Travel insurance; F2 pre-briefed on venue logistics; carboot can defer 1 wk</t>
  </si>
  <si>
    <t>Both</t>
  </si>
  <si>
    <t>R.04</t>
  </si>
  <si>
    <t>Indonesian roastery quality inadequate (no curve logging, drum issues)</t>
  </si>
  <si>
    <t>Visit roastery before paying; rental roastery as Plan B; bring own thermometer/scale</t>
  </si>
  <si>
    <t>R.05</t>
  </si>
  <si>
    <t>Carboot venue cancellations (last-minute)</t>
  </si>
  <si>
    <t>5–6 venue options; confirm 48h ahead; Plan B per event</t>
  </si>
  <si>
    <t>F2</t>
  </si>
  <si>
    <t>R.06</t>
  </si>
  <si>
    <t>Coffee cart fabrication delayed (pump/sink integration takes longer)</t>
  </si>
  <si>
    <t>Order cart Week -7; have backup folding-table fallback for first 1–2 pop-ups</t>
  </si>
  <si>
    <t>R.07</t>
  </si>
  <si>
    <t>Beans damaged/stale by time they reach MY</t>
  </si>
  <si>
    <t>Vacuum-pack within 24h of roast; ship within 5 days; cup test within 7 days</t>
  </si>
  <si>
    <t>R.08</t>
  </si>
  <si>
    <t>F2 burnout from solo work in MY weeks -6/-5</t>
  </si>
  <si>
    <t>Pre-load tasks into Week -7; daily 15-min sync; no new commitments</t>
  </si>
  <si>
    <t>R.09</t>
  </si>
  <si>
    <t>DBKL Roving Hawker permit denied or delayed</t>
  </si>
  <si>
    <t>Submit application Week -8; use friend-cafe carparks (covered by their licence) as fallback for first pop-ups</t>
  </si>
  <si>
    <t>R.10</t>
  </si>
  <si>
    <t>Typhoid jab + food handling cert delays</t>
  </si>
  <si>
    <t>Book both founders in Week -8 (KKM clinics); typically 1 week turnaround</t>
  </si>
  <si>
    <t>R.11</t>
  </si>
  <si>
    <t>Brand identity not delivered in time for banner</t>
  </si>
  <si>
    <t>Designer engaged Week -8 (one week earlier than original plan); brief is light (logo + 2 colours + type)</t>
  </si>
  <si>
    <t>R.12</t>
  </si>
  <si>
    <t>Equipment damage / loss during travel (Indonesia ↔ MY)</t>
  </si>
  <si>
    <t>Carry-on valuables; checked-baggage insurance; minimal equipment to/from Indonesia</t>
  </si>
  <si>
    <t>R.13</t>
  </si>
  <si>
    <t>Currency loss (IDR drops vs MYR while paying cash)</t>
  </si>
  <si>
    <t>Convert in tranches; use Wise / Aspire; carry cash + card backup</t>
  </si>
  <si>
    <t>R.14</t>
  </si>
  <si>
    <t>F1 misses flight back (rebooking cost)</t>
  </si>
  <si>
    <t>Buy flexible-fare; build 1-day buffer; airport accommodation booked</t>
  </si>
  <si>
    <t>R.15</t>
  </si>
  <si>
    <t>Friends-only crowd at carboot = false-positive validation</t>
  </si>
  <si>
    <t>Pop-up #1 (office tower) skewed strangers by design; track friend vs stranger separately</t>
  </si>
  <si>
    <t>R.16</t>
  </si>
  <si>
    <t>Weather kills outdoor carboot venue</t>
  </si>
  <si>
    <t>Mix indoor + outdoor venues; 1-day-ahead reschedule policy; weather check 24h prior</t>
  </si>
  <si>
    <t>R.17</t>
  </si>
  <si>
    <t>Phase 1 takes longer than 3 weeks</t>
  </si>
  <si>
    <t>Buffer 1 week; if &gt;4 weeks: defer Phase 2 launch by same amount</t>
  </si>
  <si>
    <t>R.18</t>
  </si>
  <si>
    <t>Phase 1 results inconclusive (mixed signals)</t>
  </si>
  <si>
    <t>Pre-defined scoring (sheet 7); quantify; HOLD path = re-test, not pivot</t>
  </si>
  <si>
    <t>R.19</t>
  </si>
  <si>
    <t>Indonesian producer relationship damaged by amateur visit</t>
  </si>
  <si>
    <t>Pay producer fairly; bring small gift; follow-up thank-you within 7 days</t>
  </si>
  <si>
    <t>R.20</t>
  </si>
  <si>
    <t>Roasted beans land tasting clearly worse than expected</t>
  </si>
  <si>
    <t>Sample roast 2 lots in Indonesia, cup before flying back; if poor → 2nd producer or KL co-roast for 1B/1C</t>
  </si>
  <si>
    <t>R.21</t>
  </si>
  <si>
    <t>Pop-up #1 (office) underwhelms — F1 morale tanks</t>
  </si>
  <si>
    <t>Pre-frame as warmup, not validation; analyse week-end</t>
  </si>
  <si>
    <t>R.22</t>
  </si>
  <si>
    <t>Phase 1 capex blows past RM 8K (cart costs, certs)</t>
  </si>
  <si>
    <t>Lock cart spec by Week -7; trim options ready (sink-less cart, 3 V60s, no Origami)</t>
  </si>
  <si>
    <t>R.23</t>
  </si>
  <si>
    <t>Public liability claim during carboot (slip, burn, allergy)</t>
  </si>
  <si>
    <t>Insurance from Week -8; ice/burn first aid kit; allergen disclosure on banner</t>
  </si>
  <si>
    <t xml:space="preserve">   Risk Register Summary</t>
  </si>
  <si>
    <t>Total risks tracked</t>
  </si>
  <si>
    <t>Critical risks (score ≥15)</t>
  </si>
  <si>
    <t>High risks (score 9–14)</t>
  </si>
  <si>
    <t>Medium risks (score 4–8)</t>
  </si>
  <si>
    <t>Low risks (score ≤3)</t>
  </si>
  <si>
    <t>Aggregate risk exposure (sum of scores)</t>
  </si>
  <si>
    <t>Average risk score</t>
  </si>
  <si>
    <t xml:space="preserve">   PHASE 1 SENSITIVITY — Carboot Revenue (cups × ticket × 4 events)</t>
  </si>
  <si>
    <t>What-if matrix: cups served per pop-up × avg ticket = total Phase 1 revenue. Highlight = % of Phase 1 cost recovered.</t>
  </si>
  <si>
    <t>Phase 1 base cost (out-of-pocket, RM):</t>
  </si>
  <si>
    <t>Number of pop-ups:</t>
  </si>
  <si>
    <t>REVENUE MATRIX (RM)</t>
  </si>
  <si>
    <t>Avg ticket (RM/cup) →</t>
  </si>
  <si>
    <t>Cups per pop-up ↓</t>
  </si>
  <si>
    <t>Legend:</t>
  </si>
  <si>
    <t>Green</t>
  </si>
  <si>
    <t>Carboot revenue ≥ Phase 1 base cost (full recovery)</t>
  </si>
  <si>
    <t>Yellow</t>
  </si>
  <si>
    <t>Partial recovery (60–99% of Phase 1 cost)</t>
  </si>
  <si>
    <t>Red</t>
  </si>
  <si>
    <t>Low recovery (&lt;60% of Phase 1 cost)</t>
  </si>
  <si>
    <t>Reading the matrix</t>
  </si>
  <si>
    <t>•  Phase 1 cost is now ~RM 8–12K (your prep list). Full revenue recovery requires ~80 cups × RM 18+ across 4 pop-ups — not realistic at carboot prices.</t>
  </si>
  <si>
    <t>•  Phase 1 is NOT designed to break even. The matrix shows whether revenue covers the OPS cost of 1C (~RM 1K), not the equipment investment.</t>
  </si>
  <si>
    <t>•  GREEN cells signal Phase 4 (Public Launch) economics will likely beat the optimistic scenario in [[09-Financial Projections (Conservative)]].</t>
  </si>
  <si>
    <t>•  Most of the Phase 1 spend is RECOVERABLE EQUIPMENT (carries to Phase 2) — the true "lost" cost is much smaller.</t>
  </si>
  <si>
    <t xml:space="preserve">   WEEK-BY-WEEK CASH TRACKER (Base scenario, v2)</t>
  </si>
  <si>
    <t>Running cash position from Week -8 through Week +12. Updated for v2 prep list (higher Phase 1 outflow).</t>
  </si>
  <si>
    <t>Starting capital (RM):</t>
  </si>
  <si>
    <t>Week</t>
  </si>
  <si>
    <t>Date range</t>
  </si>
  <si>
    <t>Activity</t>
  </si>
  <si>
    <t>Inflow</t>
  </si>
  <si>
    <t>Outflow</t>
  </si>
  <si>
    <t>Net cash</t>
  </si>
  <si>
    <t>W -8</t>
  </si>
  <si>
    <t>May 4–10</t>
  </si>
  <si>
    <t>Foundation: legal, brand brief sent, certs booked, accounts</t>
  </si>
  <si>
    <t>Bank acct, domain, typhoid jab + food handler course bookings</t>
  </si>
  <si>
    <t>W -7</t>
  </si>
  <si>
    <t>May 11–17</t>
  </si>
  <si>
    <t>Foundation: suppliers, Indonesia trip booked, cart ordered, designer engaged</t>
  </si>
  <si>
    <t>Indonesia flight + cart deposit (RM 1.5K) + designer deposit + permit fees</t>
  </si>
  <si>
    <t>W -6</t>
  </si>
  <si>
    <t>May 18–24</t>
  </si>
  <si>
    <t>Indonesia week 1 + MY parallel work</t>
  </si>
  <si>
    <t>F1 in Indonesia (accom, food, roastery, green) + cart final payment + drippers/grinder/kettle</t>
  </si>
  <si>
    <t>W -5</t>
  </si>
  <si>
    <t>May 25–31</t>
  </si>
  <si>
    <t>Indonesia week 2 + Carboot Pop-up #1</t>
  </si>
  <si>
    <t>F1 returns; Pop-up #1 small office crowd; banner printed; remaining equipment</t>
  </si>
  <si>
    <t>W -4</t>
  </si>
  <si>
    <t>Jun 1–7</t>
  </si>
  <si>
    <t>Carboot Pop-ups #2, #3, #4 + Decision Gate</t>
  </si>
  <si>
    <t>3 pop-ups ~50 cups avg × RM 13</t>
  </si>
  <si>
    <t>W -3</t>
  </si>
  <si>
    <t>Jun 8–14</t>
  </si>
  <si>
    <t>Phase 2 Build: espresso machine + grinder + green top-up</t>
  </si>
  <si>
    <t>Major Phase 2 capex item — espresso + grinder</t>
  </si>
  <si>
    <t>W -2</t>
  </si>
  <si>
    <t>Jun 15–21</t>
  </si>
  <si>
    <t>Phase 2 Build: 1st production roast, packaging, photo shoot</t>
  </si>
  <si>
    <t>Co-roasting + packaging first run + photography</t>
  </si>
  <si>
    <t>W -1</t>
  </si>
  <si>
    <t>Jun 22–28</t>
  </si>
  <si>
    <t>Phase 2 Build: cart finish, drill, soft launch booking</t>
  </si>
  <si>
    <t>Cart finishing/upgrade + sundries + soft-launch venue + insurance balance</t>
  </si>
  <si>
    <t>W 0</t>
  </si>
  <si>
    <t>Jun 29 – Jul 5</t>
  </si>
  <si>
    <t>PHASE 3: Soft launch + Phase 4 launch week</t>
  </si>
  <si>
    <t>Soft launch invitee revenue (40 cups × RM 16)</t>
  </si>
  <si>
    <t>W +1</t>
  </si>
  <si>
    <t>Jul 6–12</t>
  </si>
  <si>
    <t>PHASE 4: Public launch — 1st pop-up</t>
  </si>
  <si>
    <t>~45 cups × RM 16; venue + roast</t>
  </si>
  <si>
    <t>W +2</t>
  </si>
  <si>
    <t>Jul 13–19</t>
  </si>
  <si>
    <t>2nd public pop-up + online drop launch</t>
  </si>
  <si>
    <t>Cup + bag online drop</t>
  </si>
  <si>
    <t>W +3</t>
  </si>
  <si>
    <t>Jul 20–26</t>
  </si>
  <si>
    <t>3rd &amp; 4th pop-ups, weekly review settled</t>
  </si>
  <si>
    <t>Cadence locked</t>
  </si>
  <si>
    <t>W +4</t>
  </si>
  <si>
    <t>Jul 27 – Aug 2</t>
  </si>
  <si>
    <t>Continued cadence</t>
  </si>
  <si>
    <t>W +5</t>
  </si>
  <si>
    <t>Aug 3–9</t>
  </si>
  <si>
    <t>Aug rhythm</t>
  </si>
  <si>
    <t>2nd signature lot launch</t>
  </si>
  <si>
    <t>W +6</t>
  </si>
  <si>
    <t>Aug 10–16</t>
  </si>
  <si>
    <t>W +7</t>
  </si>
  <si>
    <t>Aug 17–23</t>
  </si>
  <si>
    <t>W +8</t>
  </si>
  <si>
    <t>Aug 24–30</t>
  </si>
  <si>
    <t>Quarterly pre-mortem</t>
  </si>
  <si>
    <t>Insurance renewal + service</t>
  </si>
  <si>
    <t>W +9</t>
  </si>
  <si>
    <t>Aug 31 – Sep 6</t>
  </si>
  <si>
    <t>W +10</t>
  </si>
  <si>
    <t>Sep 7–13</t>
  </si>
  <si>
    <t>W +11</t>
  </si>
  <si>
    <t>Sep 14–20</t>
  </si>
  <si>
    <t>Aceh harvest forward-buy starts</t>
  </si>
  <si>
    <t>W +12</t>
  </si>
  <si>
    <t>Sep 21–27</t>
  </si>
  <si>
    <t>Totals (W -8 → W +12)</t>
  </si>
  <si>
    <t>Lowest cash position (cash floor):</t>
  </si>
  <si>
    <t>Week of cash floor:</t>
  </si>
  <si>
    <t>Cash position colour key: GREEN &gt;RM 3,000 (healthy) · YELLOW RM 0–3,000 (caution) · RED &lt;RM 0 (CRITICAL — out of cash)</t>
  </si>
  <si>
    <t>Note: with v2 prep list, Phase 1 outflow concentrates in Weeks -7 to -3. Cash floor likely Week -3 (RM ~3K range). If RED appears, you need ~RM 5–8K more capital OR aggressive trim.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</si>
</sst>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M &quot;#,##0;\(&quot;RM &quot;#,##0\);&quot;-&quot;"/>
    <numFmt numFmtId="165" formatCode="#,##0;\(#,##0\);&quot;-&quot;"/>
    <numFmt numFmtId="166" formatCode="&quot;RM &quot;#,##0.00;\(&quot;RM &quot;#,##0.00\);&quot;-&quot;"/>
    <numFmt numFmtId="167" formatCode="0.0%;\(0.0%\);&quot;-&quot;"/>
    <numFmt numFmtId="168" formatCode="0.0"/>
  </numFmts>
  <fonts count="10" x14ac:knownFonts="1">
    <font>
      <sz val="11"/>
      <color theme="1"/>
      <name val="Calibri"/>
      <family val="2"/>
      <scheme val="minor"/>
    </font>
    <font>
      <b/>
      <sz val="16"/>
      <color rgb="FF1D1B17"/>
      <name val="Arial"/>
    </font>
    <font>
      <i/>
      <sz val="9"/>
      <color rgb="FF606060"/>
      <name val="Arial"/>
    </font>
    <font>
      <b/>
      <sz val="11"/>
      <color rgb="FF1D1B17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1D1B17"/>
      <name val="Arial"/>
    </font>
    <font>
      <b/>
      <sz val="14"/>
      <color rgb="FFFFFFFF"/>
      <name val="Arial"/>
    </font>
    <font>
      <sz val="10"/>
      <color rgb="FF0000FF"/>
      <name val="Arial"/>
    </font>
    <font>
      <sz val="10"/>
      <color rgb="FF008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4EFE6"/>
      </patternFill>
    </fill>
    <fill>
      <patternFill patternType="solid">
        <fgColor rgb="FF1D1B17"/>
      </patternFill>
    </fill>
    <fill>
      <patternFill patternType="solid">
        <fgColor rgb="FFFFF59D"/>
      </patternFill>
    </fill>
    <fill>
      <patternFill patternType="solid">
        <fgColor rgb="FFE3F2FD"/>
      </patternFill>
    </fill>
    <fill>
      <patternFill patternType="solid">
        <fgColor rgb="FFC8E6C9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B0AFAB"/>
      </left>
      <right style="thin">
        <color rgb="FFB0AFAB"/>
      </right>
      <top style="thin">
        <color rgb="FFB0AFAB"/>
      </top>
      <bottom style="thin">
        <color rgb="FFB0AFAB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5" fillId="0" borderId="0" xfId="0" applyFont="1"/>
    <xf numFmtId="0" fontId="6" fillId="2" borderId="0" xfId="0" applyFont="1" applyFill="1"/>
    <xf numFmtId="0" fontId="3" fillId="2" borderId="0" xfId="0" applyFont="1" applyFill="1"/>
    <xf numFmtId="0" fontId="6" fillId="2" borderId="1" xfId="0" applyFont="1" applyFill="1" applyBorder="1" applyAlignment="1">
      <alignment horizontal="center" vertical="center" wrapText="1"/>
    </xf>
    <xf numFmtId="164" fontId="8" fillId="0" borderId="0" xfId="0" applyNumberFormat="1" applyFont="1"/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vertical="top" wrapText="1"/>
    </xf>
    <xf numFmtId="164" fontId="5" fillId="0" borderId="0" xfId="0" applyNumberFormat="1" applyFont="1"/>
    <xf numFmtId="0" fontId="4" fillId="2" borderId="0" xfId="0" applyFont="1" applyFill="1"/>
    <xf numFmtId="164" fontId="4" fillId="2" borderId="0" xfId="0" applyNumberFormat="1" applyFont="1" applyFill="1"/>
    <xf numFmtId="0" fontId="3" fillId="4" borderId="0" xfId="0" applyFont="1" applyFill="1"/>
    <xf numFmtId="164" fontId="3" fillId="4" borderId="0" xfId="0" applyNumberFormat="1" applyFont="1" applyFill="1"/>
    <xf numFmtId="164" fontId="4" fillId="0" borderId="0" xfId="0" applyNumberFormat="1" applyFont="1"/>
    <xf numFmtId="0" fontId="6" fillId="0" borderId="0" xfId="0" applyFont="1"/>
    <xf numFmtId="164" fontId="6" fillId="0" borderId="0" xfId="0" applyNumberFormat="1" applyFont="1"/>
    <xf numFmtId="165" fontId="8" fillId="0" borderId="0" xfId="0" applyNumberFormat="1" applyFont="1"/>
    <xf numFmtId="166" fontId="8" fillId="0" borderId="0" xfId="0" applyNumberFormat="1" applyFont="1"/>
    <xf numFmtId="164" fontId="6" fillId="2" borderId="0" xfId="0" applyNumberFormat="1" applyFont="1" applyFill="1"/>
    <xf numFmtId="164" fontId="9" fillId="0" borderId="0" xfId="0" applyNumberFormat="1" applyFont="1"/>
    <xf numFmtId="0" fontId="6" fillId="4" borderId="0" xfId="0" applyFont="1" applyFill="1"/>
    <xf numFmtId="164" fontId="5" fillId="4" borderId="0" xfId="0" applyNumberFormat="1" applyFont="1" applyFill="1"/>
    <xf numFmtId="0" fontId="4" fillId="4" borderId="0" xfId="0" applyFont="1" applyFill="1"/>
    <xf numFmtId="167" fontId="5" fillId="4" borderId="0" xfId="0" applyNumberFormat="1" applyFont="1" applyFill="1"/>
    <xf numFmtId="167" fontId="4" fillId="0" borderId="0" xfId="0" applyNumberFormat="1" applyFont="1"/>
    <xf numFmtId="0" fontId="5" fillId="0" borderId="0" xfId="0" applyFont="1" applyAlignment="1">
      <alignment horizontal="left" vertical="center" wrapText="1"/>
    </xf>
    <xf numFmtId="167" fontId="5" fillId="0" borderId="0" xfId="0" applyNumberFormat="1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5" fontId="8" fillId="5" borderId="0" xfId="0" applyNumberFormat="1" applyFont="1" applyFill="1" applyAlignment="1">
      <alignment horizontal="center" vertical="center" wrapText="1"/>
    </xf>
    <xf numFmtId="167" fontId="8" fillId="5" borderId="0" xfId="0" applyNumberFormat="1" applyFont="1" applyFill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166" fontId="8" fillId="5" borderId="0" xfId="0" applyNumberFormat="1" applyFont="1" applyFill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 wrapText="1"/>
    </xf>
    <xf numFmtId="167" fontId="3" fillId="4" borderId="0" xfId="0" applyNumberFormat="1" applyFont="1" applyFill="1" applyAlignment="1">
      <alignment horizontal="center" vertical="center" wrapText="1"/>
    </xf>
    <xf numFmtId="0" fontId="7" fillId="3" borderId="0" xfId="0" applyFont="1" applyFill="1"/>
    <xf numFmtId="0" fontId="4" fillId="6" borderId="0" xfId="0" applyFont="1" applyFill="1"/>
    <xf numFmtId="0" fontId="5" fillId="6" borderId="0" xfId="0" applyFont="1" applyFill="1"/>
    <xf numFmtId="0" fontId="4" fillId="7" borderId="0" xfId="0" applyFont="1" applyFill="1"/>
    <xf numFmtId="0" fontId="5" fillId="7" borderId="0" xfId="0" applyFont="1" applyFill="1"/>
    <xf numFmtId="0" fontId="4" fillId="8" borderId="0" xfId="0" applyFont="1" applyFill="1"/>
    <xf numFmtId="0" fontId="5" fillId="8" borderId="0" xfId="0" applyFont="1" applyFill="1"/>
    <xf numFmtId="167" fontId="5" fillId="0" borderId="0" xfId="0" applyNumberFormat="1" applyFont="1"/>
    <xf numFmtId="165" fontId="5" fillId="0" borderId="0" xfId="0" applyNumberFormat="1" applyFont="1"/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8" fontId="5" fillId="0" borderId="0" xfId="0" applyNumberFormat="1" applyFont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165" fontId="4" fillId="2" borderId="0" xfId="0" applyNumberFormat="1" applyFont="1" applyFill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4" fontId="8" fillId="4" borderId="0" xfId="0" applyNumberFormat="1" applyFont="1" applyFill="1"/>
    <xf numFmtId="164" fontId="6" fillId="4" borderId="0" xfId="0" applyNumberFormat="1" applyFont="1" applyFill="1"/>
    <xf numFmtId="0" fontId="3" fillId="0" borderId="0" xfId="0" applyFont="1"/>
    <xf numFmtId="0" fontId="0" fillId="0" borderId="0" xfId="0"/>
    <xf numFmtId="0" fontId="2" fillId="0" borderId="0" xfId="0" applyFont="1"/>
    <xf numFmtId="0" fontId="1" fillId="0" borderId="0" xfId="0" applyFont="1"/>
    <xf numFmtId="0" fontId="7" fillId="3" borderId="0" xfId="0" applyFont="1" applyFill="1" applyAlignment="1">
      <alignment horizontal="left" vertical="center" wrapText="1"/>
    </xf>
    <xf numFmtId="0" fontId="0" fillId="3" borderId="0" xfId="0" applyFill="1"/>
    <xf numFmtId="0" fontId="3" fillId="2" borderId="0" xfId="0" applyFont="1" applyFill="1"/>
    <xf numFmtId="0" fontId="5" fillId="0" borderId="0" xfId="0" applyFont="1" applyAlignment="1">
      <alignment vertical="top" wrapText="1"/>
    </xf>
    <xf numFmtId="0" fontId="6" fillId="4" borderId="0" xfId="0" applyFont="1" applyFill="1"/>
    <xf numFmtId="0" fontId="2" fillId="0" borderId="0" xfId="0" applyFont="1" applyAlignment="1">
      <alignment vertical="top" wrapText="1"/>
    </xf>
    <xf numFmtId="0" fontId="5" fillId="7" borderId="0" xfId="0" applyFont="1" applyFill="1"/>
    <xf numFmtId="0" fontId="5" fillId="6" borderId="0" xfId="0" applyFont="1" applyFill="1"/>
    <xf numFmtId="0" fontId="3" fillId="0" borderId="0" xfId="0" applyFont="1" applyAlignment="1">
      <alignment horizontal="left" vertical="center" wrapText="1"/>
    </xf>
    <xf numFmtId="0" fontId="5" fillId="8" borderId="0" xfId="0" applyFont="1" applyFill="1"/>
    <xf numFmtId="0" fontId="6" fillId="2" borderId="0" xfId="0" applyFont="1" applyFill="1"/>
    <xf numFmtId="0" fontId="5" fillId="9" borderId="0" xfId="0" applyFont="1" applyFill="1"/>
    <xf numFmtId="164" fontId="8" fillId="9" borderId="0" xfId="0" applyNumberFormat="1" applyFont="1" applyFill="1"/>
    <xf numFmtId="0" fontId="5" fillId="9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vertical="top" wrapText="1"/>
    </xf>
    <xf numFmtId="0" fontId="0" fillId="9" borderId="0" xfId="0" applyFill="1"/>
  </cellXfs>
  <cellStyles count="1">
    <cellStyle name="Normal" xfId="0" builtinId="0"/>
  </cellStyles>
  <dxfs count="14">
    <dxf>
      <fill>
        <patternFill patternType="solid">
          <fgColor rgb="FFC8E6C9"/>
        </patternFill>
      </fill>
    </dxf>
    <dxf>
      <fill>
        <patternFill patternType="solid">
          <fgColor rgb="FFFFF9C4"/>
        </patternFill>
      </fill>
    </dxf>
    <dxf>
      <fill>
        <patternFill patternType="solid">
          <fgColor rgb="FFFFCDD2"/>
        </patternFill>
      </fill>
    </dxf>
    <dxf>
      <fill>
        <patternFill patternType="solid">
          <fgColor rgb="FFFFCDD2"/>
        </patternFill>
      </fill>
    </dxf>
    <dxf>
      <fill>
        <patternFill patternType="solid">
          <fgColor rgb="FFFFF9C4"/>
        </patternFill>
      </fill>
    </dxf>
    <dxf>
      <fill>
        <patternFill patternType="solid">
          <fgColor rgb="FFC8E6C9"/>
        </patternFill>
      </fill>
    </dxf>
    <dxf>
      <fill>
        <patternFill patternType="solid">
          <fgColor rgb="FFC8E6C9"/>
        </patternFill>
      </fill>
    </dxf>
    <dxf>
      <fill>
        <patternFill patternType="solid">
          <fgColor rgb="FFFFE0B2"/>
        </patternFill>
      </fill>
    </dxf>
    <dxf>
      <fill>
        <patternFill patternType="solid">
          <fgColor rgb="FFFFF9C4"/>
        </patternFill>
      </fill>
    </dxf>
    <dxf>
      <fill>
        <patternFill patternType="solid">
          <fgColor rgb="FFFFCDD2"/>
        </patternFill>
      </fill>
    </dxf>
    <dxf>
      <fill>
        <patternFill patternType="solid">
          <fgColor rgb="FFFFCDD2"/>
        </patternFill>
      </fill>
    </dxf>
    <dxf>
      <fill>
        <patternFill patternType="solid">
          <fgColor rgb="FFFFF9C4"/>
        </patternFill>
      </fill>
    </dxf>
    <dxf>
      <fill>
        <patternFill patternType="solid">
          <fgColor rgb="FFC8E6C9"/>
        </patternFill>
      </fill>
    </dxf>
    <dxf>
      <fill>
        <patternFill patternType="solid">
          <fgColor rgb="FFC8E6C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B11" sqref="B11"/>
    </sheetView>
  </sheetViews>
  <sheetFormatPr baseColWidth="10" defaultColWidth="8.83203125" defaultRowHeight="15" x14ac:dyDescent="0.2"/>
  <cols>
    <col min="1" max="1" width="32" customWidth="1"/>
    <col min="2" max="2" width="80" customWidth="1"/>
  </cols>
  <sheetData>
    <row r="1" spans="1:2" ht="20" x14ac:dyDescent="0.2">
      <c r="A1" s="58" t="s">
        <v>0</v>
      </c>
      <c r="B1" s="56"/>
    </row>
    <row r="2" spans="1:2" x14ac:dyDescent="0.2">
      <c r="A2" s="57" t="s">
        <v>1</v>
      </c>
      <c r="B2" s="56"/>
    </row>
    <row r="4" spans="1:2" x14ac:dyDescent="0.2">
      <c r="A4" s="55" t="s">
        <v>2</v>
      </c>
      <c r="B4" s="56"/>
    </row>
    <row r="5" spans="1:2" ht="32" customHeight="1" x14ac:dyDescent="0.2">
      <c r="A5" s="2" t="s">
        <v>3</v>
      </c>
      <c r="B5" s="3" t="s">
        <v>4</v>
      </c>
    </row>
    <row r="6" spans="1:2" ht="32" customHeight="1" x14ac:dyDescent="0.2">
      <c r="A6" s="2" t="s">
        <v>5</v>
      </c>
      <c r="B6" s="3" t="s">
        <v>6</v>
      </c>
    </row>
    <row r="7" spans="1:2" x14ac:dyDescent="0.2">
      <c r="A7" s="2" t="s">
        <v>7</v>
      </c>
      <c r="B7" s="3" t="s">
        <v>8</v>
      </c>
    </row>
    <row r="8" spans="1:2" ht="81" customHeight="1" x14ac:dyDescent="0.2">
      <c r="A8" s="2" t="s">
        <v>9</v>
      </c>
      <c r="B8" s="3" t="s">
        <v>10</v>
      </c>
    </row>
    <row r="9" spans="1:2" x14ac:dyDescent="0.2">
      <c r="A9" s="4"/>
      <c r="B9" s="3"/>
    </row>
    <row r="10" spans="1:2" x14ac:dyDescent="0.2">
      <c r="A10" s="5" t="s">
        <v>11</v>
      </c>
      <c r="B10" s="5" t="s">
        <v>12</v>
      </c>
    </row>
    <row r="11" spans="1:2" x14ac:dyDescent="0.2">
      <c r="A11" s="2" t="s">
        <v>13</v>
      </c>
      <c r="B11" s="3" t="s">
        <v>14</v>
      </c>
    </row>
    <row r="12" spans="1:2" ht="32" customHeight="1" x14ac:dyDescent="0.2">
      <c r="A12" s="2" t="s">
        <v>15</v>
      </c>
      <c r="B12" s="3" t="s">
        <v>16</v>
      </c>
    </row>
    <row r="13" spans="1:2" x14ac:dyDescent="0.2">
      <c r="A13" s="2" t="s">
        <v>17</v>
      </c>
      <c r="B13" s="3" t="s">
        <v>18</v>
      </c>
    </row>
    <row r="14" spans="1:2" x14ac:dyDescent="0.2">
      <c r="A14" s="2" t="s">
        <v>19</v>
      </c>
      <c r="B14" s="3" t="s">
        <v>20</v>
      </c>
    </row>
    <row r="15" spans="1:2" x14ac:dyDescent="0.2">
      <c r="A15" s="2" t="s">
        <v>21</v>
      </c>
      <c r="B15" s="3" t="s">
        <v>22</v>
      </c>
    </row>
    <row r="16" spans="1:2" x14ac:dyDescent="0.2">
      <c r="A16" s="2" t="s">
        <v>23</v>
      </c>
      <c r="B16" s="3" t="s">
        <v>24</v>
      </c>
    </row>
    <row r="17" spans="1:2" x14ac:dyDescent="0.2">
      <c r="A17" s="2" t="s">
        <v>25</v>
      </c>
      <c r="B17" s="3" t="s">
        <v>26</v>
      </c>
    </row>
    <row r="18" spans="1:2" x14ac:dyDescent="0.2">
      <c r="A18" s="2" t="s">
        <v>27</v>
      </c>
      <c r="B18" s="3" t="s">
        <v>28</v>
      </c>
    </row>
    <row r="19" spans="1:2" x14ac:dyDescent="0.2">
      <c r="A19" s="2" t="s">
        <v>29</v>
      </c>
      <c r="B19" s="3" t="s">
        <v>30</v>
      </c>
    </row>
    <row r="20" spans="1:2" x14ac:dyDescent="0.2">
      <c r="A20" s="2" t="s">
        <v>31</v>
      </c>
      <c r="B20" s="3" t="s">
        <v>32</v>
      </c>
    </row>
    <row r="21" spans="1:2" x14ac:dyDescent="0.2">
      <c r="A21" s="4"/>
      <c r="B21" s="3"/>
    </row>
    <row r="22" spans="1:2" ht="32" customHeight="1" x14ac:dyDescent="0.2">
      <c r="A22" s="2" t="s">
        <v>33</v>
      </c>
      <c r="B22" s="3" t="s">
        <v>34</v>
      </c>
    </row>
    <row r="23" spans="1:2" ht="32" customHeight="1" x14ac:dyDescent="0.2">
      <c r="A23" s="2" t="s">
        <v>35</v>
      </c>
      <c r="B23" s="3" t="s">
        <v>36</v>
      </c>
    </row>
  </sheetData>
  <mergeCells count="3">
    <mergeCell ref="A4:B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0"/>
  <sheetViews>
    <sheetView workbookViewId="0">
      <pane ySplit="5" topLeftCell="A6" activePane="bottomLeft" state="frozen"/>
      <selection pane="bottomLeft" activeCell="B26" sqref="B26"/>
    </sheetView>
  </sheetViews>
  <sheetFormatPr baseColWidth="10" defaultColWidth="8.83203125" defaultRowHeight="15" x14ac:dyDescent="0.2"/>
  <cols>
    <col min="1" max="1" width="6" customWidth="1"/>
    <col min="2" max="2" width="50" customWidth="1"/>
    <col min="3" max="5" width="12" customWidth="1"/>
    <col min="6" max="6" width="14" customWidth="1"/>
    <col min="7" max="7" width="38" customWidth="1"/>
  </cols>
  <sheetData>
    <row r="1" spans="1:7" x14ac:dyDescent="0.2">
      <c r="A1" s="59" t="s">
        <v>37</v>
      </c>
      <c r="B1" s="60"/>
      <c r="C1" s="60"/>
      <c r="D1" s="60"/>
      <c r="E1" s="60"/>
      <c r="F1" s="60"/>
      <c r="G1" s="60"/>
    </row>
    <row r="2" spans="1:7" x14ac:dyDescent="0.2">
      <c r="A2" s="57" t="s">
        <v>38</v>
      </c>
      <c r="B2" s="56"/>
      <c r="C2" s="56"/>
      <c r="D2" s="56"/>
      <c r="E2" s="56"/>
      <c r="F2" s="56"/>
      <c r="G2" s="56"/>
    </row>
    <row r="4" spans="1:7" x14ac:dyDescent="0.2">
      <c r="A4" s="61" t="s">
        <v>39</v>
      </c>
      <c r="B4" s="56"/>
      <c r="C4" s="56"/>
      <c r="D4" s="56"/>
      <c r="E4" s="56"/>
      <c r="F4" s="56"/>
      <c r="G4" s="56"/>
    </row>
    <row r="5" spans="1:7" x14ac:dyDescent="0.2">
      <c r="A5" s="7" t="s">
        <v>40</v>
      </c>
      <c r="B5" s="7" t="s">
        <v>41</v>
      </c>
      <c r="C5" s="7" t="s">
        <v>42</v>
      </c>
      <c r="D5" s="7" t="s">
        <v>43</v>
      </c>
      <c r="E5" s="7" t="s">
        <v>44</v>
      </c>
      <c r="F5" s="7" t="s">
        <v>45</v>
      </c>
      <c r="G5" s="7" t="s">
        <v>46</v>
      </c>
    </row>
    <row r="6" spans="1:7" x14ac:dyDescent="0.2">
      <c r="A6" s="4" t="s">
        <v>47</v>
      </c>
      <c r="B6" s="4" t="s">
        <v>48</v>
      </c>
      <c r="C6" s="8">
        <v>800</v>
      </c>
      <c r="D6" s="8">
        <v>1000</v>
      </c>
      <c r="E6" s="8">
        <v>1200</v>
      </c>
      <c r="F6" s="9" t="s">
        <v>49</v>
      </c>
      <c r="G6" s="10" t="s">
        <v>50</v>
      </c>
    </row>
    <row r="7" spans="1:7" x14ac:dyDescent="0.2">
      <c r="A7" s="4" t="s">
        <v>51</v>
      </c>
      <c r="B7" s="4" t="s">
        <v>52</v>
      </c>
      <c r="C7" s="8">
        <v>700</v>
      </c>
      <c r="D7" s="8">
        <v>950</v>
      </c>
      <c r="E7" s="8">
        <v>1200</v>
      </c>
      <c r="F7" s="9" t="s">
        <v>49</v>
      </c>
      <c r="G7" s="10" t="s">
        <v>53</v>
      </c>
    </row>
    <row r="8" spans="1:7" s="74" customFormat="1" x14ac:dyDescent="0.2">
      <c r="A8" s="70" t="s">
        <v>54</v>
      </c>
      <c r="B8" s="70" t="s">
        <v>55</v>
      </c>
      <c r="C8" s="71">
        <v>200</v>
      </c>
      <c r="D8" s="71">
        <v>350</v>
      </c>
      <c r="E8" s="71">
        <v>500</v>
      </c>
      <c r="F8" s="72" t="s">
        <v>49</v>
      </c>
      <c r="G8" s="73" t="s">
        <v>56</v>
      </c>
    </row>
    <row r="9" spans="1:7" s="74" customFormat="1" x14ac:dyDescent="0.2">
      <c r="A9" s="70" t="s">
        <v>57</v>
      </c>
      <c r="B9" s="70" t="s">
        <v>58</v>
      </c>
      <c r="C9" s="71">
        <v>800</v>
      </c>
      <c r="D9" s="71">
        <v>1150</v>
      </c>
      <c r="E9" s="71">
        <v>1500</v>
      </c>
      <c r="F9" s="72" t="s">
        <v>59</v>
      </c>
      <c r="G9" s="73" t="s">
        <v>60</v>
      </c>
    </row>
    <row r="10" spans="1:7" x14ac:dyDescent="0.2">
      <c r="A10" s="4" t="s">
        <v>61</v>
      </c>
      <c r="B10" s="4" t="s">
        <v>62</v>
      </c>
      <c r="C10" s="8">
        <v>200</v>
      </c>
      <c r="D10" s="8">
        <v>300</v>
      </c>
      <c r="E10" s="8">
        <v>450</v>
      </c>
      <c r="F10" s="9" t="s">
        <v>49</v>
      </c>
      <c r="G10" s="10" t="s">
        <v>63</v>
      </c>
    </row>
    <row r="11" spans="1:7" x14ac:dyDescent="0.2">
      <c r="A11" s="4" t="s">
        <v>64</v>
      </c>
      <c r="B11" s="4" t="s">
        <v>65</v>
      </c>
      <c r="C11" s="8">
        <v>400</v>
      </c>
      <c r="D11" s="8">
        <v>600</v>
      </c>
      <c r="E11" s="8">
        <v>800</v>
      </c>
      <c r="F11" s="9" t="s">
        <v>49</v>
      </c>
      <c r="G11" s="10" t="s">
        <v>66</v>
      </c>
    </row>
    <row r="12" spans="1:7" x14ac:dyDescent="0.2">
      <c r="A12" s="4" t="s">
        <v>67</v>
      </c>
      <c r="B12" s="4" t="s">
        <v>68</v>
      </c>
      <c r="C12" s="8">
        <v>50</v>
      </c>
      <c r="D12" s="8">
        <v>100</v>
      </c>
      <c r="E12" s="8">
        <v>150</v>
      </c>
      <c r="F12" s="9" t="s">
        <v>49</v>
      </c>
      <c r="G12" s="10" t="s">
        <v>69</v>
      </c>
    </row>
    <row r="13" spans="1:7" x14ac:dyDescent="0.2">
      <c r="A13" s="4" t="s">
        <v>70</v>
      </c>
      <c r="B13" s="4" t="s">
        <v>71</v>
      </c>
      <c r="C13" s="11">
        <f>ROUND(0.1*SUM(C6:C12),0)</f>
        <v>315</v>
      </c>
      <c r="D13" s="11">
        <f>ROUND(0.1*SUM(D6:D12),0)</f>
        <v>445</v>
      </c>
      <c r="E13" s="11">
        <f>ROUND(0.1*SUM(E6:E12),0)</f>
        <v>580</v>
      </c>
      <c r="F13" s="4" t="s">
        <v>49</v>
      </c>
      <c r="G13" s="1" t="s">
        <v>72</v>
      </c>
    </row>
    <row r="14" spans="1:7" x14ac:dyDescent="0.2">
      <c r="B14" s="12" t="s">
        <v>73</v>
      </c>
      <c r="C14" s="13">
        <f>SUM(C6:C13)</f>
        <v>3465</v>
      </c>
      <c r="D14" s="13">
        <f>SUM(D6:D13)</f>
        <v>4895</v>
      </c>
      <c r="E14" s="13">
        <f>SUM(E6:E13)</f>
        <v>6380</v>
      </c>
    </row>
    <row r="16" spans="1:7" x14ac:dyDescent="0.2">
      <c r="A16" s="61" t="s">
        <v>74</v>
      </c>
      <c r="B16" s="56"/>
      <c r="C16" s="56"/>
      <c r="D16" s="56"/>
      <c r="E16" s="56"/>
      <c r="F16" s="56"/>
      <c r="G16" s="56"/>
    </row>
    <row r="17" spans="1:7" x14ac:dyDescent="0.2">
      <c r="A17" s="7" t="s">
        <v>40</v>
      </c>
      <c r="B17" s="7" t="s">
        <v>41</v>
      </c>
      <c r="C17" s="7" t="s">
        <v>42</v>
      </c>
      <c r="D17" s="7" t="s">
        <v>43</v>
      </c>
      <c r="E17" s="7" t="s">
        <v>44</v>
      </c>
      <c r="F17" s="7" t="s">
        <v>45</v>
      </c>
      <c r="G17" s="7" t="s">
        <v>46</v>
      </c>
    </row>
    <row r="18" spans="1:7" x14ac:dyDescent="0.2">
      <c r="A18" s="4" t="s">
        <v>75</v>
      </c>
      <c r="B18" s="4" t="s">
        <v>76</v>
      </c>
      <c r="C18" s="8">
        <v>1500</v>
      </c>
      <c r="D18" s="8">
        <v>2200</v>
      </c>
      <c r="E18" s="8">
        <v>3000</v>
      </c>
      <c r="F18" s="9" t="s">
        <v>77</v>
      </c>
      <c r="G18" s="10" t="s">
        <v>78</v>
      </c>
    </row>
    <row r="19" spans="1:7" x14ac:dyDescent="0.2">
      <c r="A19" s="4" t="s">
        <v>79</v>
      </c>
      <c r="B19" s="4" t="s">
        <v>80</v>
      </c>
      <c r="C19" s="8">
        <v>150</v>
      </c>
      <c r="D19" s="8">
        <v>220</v>
      </c>
      <c r="E19" s="8">
        <v>300</v>
      </c>
      <c r="F19" s="9" t="s">
        <v>77</v>
      </c>
      <c r="G19" s="10" t="s">
        <v>81</v>
      </c>
    </row>
    <row r="20" spans="1:7" x14ac:dyDescent="0.2">
      <c r="A20" s="4" t="s">
        <v>82</v>
      </c>
      <c r="B20" s="4" t="s">
        <v>83</v>
      </c>
      <c r="C20" s="8">
        <v>80</v>
      </c>
      <c r="D20" s="8">
        <v>120</v>
      </c>
      <c r="E20" s="8">
        <v>180</v>
      </c>
      <c r="F20" s="9" t="s">
        <v>59</v>
      </c>
      <c r="G20" s="10" t="s">
        <v>84</v>
      </c>
    </row>
    <row r="21" spans="1:7" x14ac:dyDescent="0.2">
      <c r="A21" s="4" t="s">
        <v>85</v>
      </c>
      <c r="B21" s="4" t="s">
        <v>86</v>
      </c>
      <c r="C21" s="8">
        <v>700</v>
      </c>
      <c r="D21" s="8">
        <v>800</v>
      </c>
      <c r="E21" s="8">
        <v>950</v>
      </c>
      <c r="F21" s="9" t="s">
        <v>77</v>
      </c>
      <c r="G21" s="10" t="s">
        <v>87</v>
      </c>
    </row>
    <row r="22" spans="1:7" ht="26" x14ac:dyDescent="0.2">
      <c r="A22" s="4" t="s">
        <v>88</v>
      </c>
      <c r="B22" s="4" t="s">
        <v>89</v>
      </c>
      <c r="C22" s="8">
        <v>450</v>
      </c>
      <c r="D22" s="8">
        <v>520</v>
      </c>
      <c r="E22" s="8">
        <v>600</v>
      </c>
      <c r="F22" s="9" t="s">
        <v>77</v>
      </c>
      <c r="G22" s="10" t="s">
        <v>90</v>
      </c>
    </row>
    <row r="23" spans="1:7" x14ac:dyDescent="0.2">
      <c r="A23" s="4" t="s">
        <v>91</v>
      </c>
      <c r="B23" s="4" t="s">
        <v>92</v>
      </c>
      <c r="C23" s="8">
        <v>200</v>
      </c>
      <c r="D23" s="8">
        <v>250</v>
      </c>
      <c r="E23" s="8">
        <v>320</v>
      </c>
      <c r="F23" s="9" t="s">
        <v>77</v>
      </c>
      <c r="G23" s="10" t="s">
        <v>93</v>
      </c>
    </row>
    <row r="24" spans="1:7" x14ac:dyDescent="0.2">
      <c r="A24" s="4" t="s">
        <v>94</v>
      </c>
      <c r="B24" s="4" t="s">
        <v>95</v>
      </c>
      <c r="C24" s="8">
        <v>120</v>
      </c>
      <c r="D24" s="8">
        <v>180</v>
      </c>
      <c r="E24" s="8">
        <v>260</v>
      </c>
      <c r="F24" s="9" t="s">
        <v>77</v>
      </c>
      <c r="G24" s="10" t="s">
        <v>96</v>
      </c>
    </row>
    <row r="25" spans="1:7" x14ac:dyDescent="0.2">
      <c r="A25" s="4" t="s">
        <v>97</v>
      </c>
      <c r="B25" s="4" t="s">
        <v>98</v>
      </c>
      <c r="C25" s="8">
        <v>380</v>
      </c>
      <c r="D25" s="8">
        <v>480</v>
      </c>
      <c r="E25" s="8">
        <v>600</v>
      </c>
      <c r="F25" s="9" t="s">
        <v>77</v>
      </c>
      <c r="G25" s="10" t="s">
        <v>99</v>
      </c>
    </row>
    <row r="26" spans="1:7" x14ac:dyDescent="0.2">
      <c r="A26" s="4" t="s">
        <v>100</v>
      </c>
      <c r="B26" s="4" t="s">
        <v>101</v>
      </c>
      <c r="C26" s="8">
        <v>80</v>
      </c>
      <c r="D26" s="8">
        <v>120</v>
      </c>
      <c r="E26" s="8">
        <v>180</v>
      </c>
      <c r="F26" s="9" t="s">
        <v>49</v>
      </c>
      <c r="G26" s="10" t="s">
        <v>102</v>
      </c>
    </row>
    <row r="27" spans="1:7" x14ac:dyDescent="0.2">
      <c r="A27" s="4" t="s">
        <v>103</v>
      </c>
      <c r="B27" s="4" t="s">
        <v>104</v>
      </c>
      <c r="C27" s="8">
        <v>280</v>
      </c>
      <c r="D27" s="8">
        <v>400</v>
      </c>
      <c r="E27" s="8">
        <v>700</v>
      </c>
      <c r="F27" s="9" t="s">
        <v>77</v>
      </c>
      <c r="G27" s="10" t="s">
        <v>105</v>
      </c>
    </row>
    <row r="28" spans="1:7" x14ac:dyDescent="0.2">
      <c r="A28" s="4" t="s">
        <v>106</v>
      </c>
      <c r="B28" s="4" t="s">
        <v>107</v>
      </c>
      <c r="C28" s="8">
        <v>1000</v>
      </c>
      <c r="D28" s="8">
        <v>1500</v>
      </c>
      <c r="E28" s="8">
        <v>2200</v>
      </c>
      <c r="F28" s="9" t="s">
        <v>77</v>
      </c>
      <c r="G28" s="10" t="s">
        <v>108</v>
      </c>
    </row>
    <row r="29" spans="1:7" x14ac:dyDescent="0.2">
      <c r="A29" s="4" t="s">
        <v>109</v>
      </c>
      <c r="B29" s="4" t="s">
        <v>110</v>
      </c>
      <c r="C29" s="8">
        <v>250</v>
      </c>
      <c r="D29" s="8">
        <v>380</v>
      </c>
      <c r="E29" s="8">
        <v>550</v>
      </c>
      <c r="F29" s="9" t="s">
        <v>77</v>
      </c>
      <c r="G29" s="10" t="s">
        <v>111</v>
      </c>
    </row>
    <row r="30" spans="1:7" x14ac:dyDescent="0.2">
      <c r="A30" s="4" t="s">
        <v>112</v>
      </c>
      <c r="B30" s="4" t="s">
        <v>113</v>
      </c>
      <c r="C30" s="8">
        <v>60</v>
      </c>
      <c r="D30" s="8">
        <v>100</v>
      </c>
      <c r="E30" s="8">
        <v>150</v>
      </c>
      <c r="F30" s="9" t="s">
        <v>49</v>
      </c>
      <c r="G30" s="10" t="s">
        <v>114</v>
      </c>
    </row>
    <row r="31" spans="1:7" x14ac:dyDescent="0.2">
      <c r="A31" s="4" t="s">
        <v>115</v>
      </c>
      <c r="B31" s="4" t="s">
        <v>116</v>
      </c>
      <c r="C31" s="8">
        <v>200</v>
      </c>
      <c r="D31" s="8">
        <v>320</v>
      </c>
      <c r="E31" s="8">
        <v>480</v>
      </c>
      <c r="F31" s="9" t="s">
        <v>77</v>
      </c>
      <c r="G31" s="10" t="s">
        <v>117</v>
      </c>
    </row>
    <row r="32" spans="1:7" x14ac:dyDescent="0.2">
      <c r="A32" s="4" t="s">
        <v>118</v>
      </c>
      <c r="B32" s="4" t="s">
        <v>119</v>
      </c>
      <c r="C32" s="8">
        <v>200</v>
      </c>
      <c r="D32" s="8">
        <v>320</v>
      </c>
      <c r="E32" s="8">
        <v>480</v>
      </c>
      <c r="F32" s="9" t="s">
        <v>77</v>
      </c>
      <c r="G32" s="10" t="s">
        <v>120</v>
      </c>
    </row>
    <row r="33" spans="1:7" x14ac:dyDescent="0.2">
      <c r="A33" s="4" t="s">
        <v>121</v>
      </c>
      <c r="B33" s="4" t="s">
        <v>122</v>
      </c>
      <c r="C33" s="8">
        <v>0</v>
      </c>
      <c r="D33" s="8">
        <v>50</v>
      </c>
      <c r="E33" s="8">
        <v>150</v>
      </c>
      <c r="F33" s="9" t="s">
        <v>49</v>
      </c>
      <c r="G33" s="10" t="s">
        <v>123</v>
      </c>
    </row>
    <row r="34" spans="1:7" x14ac:dyDescent="0.2">
      <c r="A34" s="4" t="s">
        <v>124</v>
      </c>
      <c r="B34" s="4" t="s">
        <v>71</v>
      </c>
      <c r="C34" s="11">
        <f>ROUND(0.1*SUM(C18:C33),0)</f>
        <v>565</v>
      </c>
      <c r="D34" s="11">
        <f>ROUND(0.1*SUM(D18:D33),0)</f>
        <v>796</v>
      </c>
      <c r="E34" s="11">
        <f>ROUND(0.1*SUM(E18:E33),0)</f>
        <v>1110</v>
      </c>
      <c r="F34" s="4" t="s">
        <v>49</v>
      </c>
      <c r="G34" s="1" t="s">
        <v>72</v>
      </c>
    </row>
    <row r="35" spans="1:7" x14ac:dyDescent="0.2">
      <c r="B35" s="12" t="s">
        <v>125</v>
      </c>
      <c r="C35" s="13">
        <f>SUM(C18:C34)</f>
        <v>6215</v>
      </c>
      <c r="D35" s="13">
        <f>SUM(D18:D34)</f>
        <v>8756</v>
      </c>
      <c r="E35" s="13">
        <f>SUM(E18:E34)</f>
        <v>12210</v>
      </c>
    </row>
    <row r="37" spans="1:7" x14ac:dyDescent="0.2">
      <c r="A37" s="61" t="s">
        <v>126</v>
      </c>
      <c r="B37" s="56"/>
      <c r="C37" s="56"/>
      <c r="D37" s="56"/>
      <c r="E37" s="56"/>
      <c r="F37" s="56"/>
      <c r="G37" s="56"/>
    </row>
    <row r="38" spans="1:7" x14ac:dyDescent="0.2">
      <c r="A38" s="7" t="s">
        <v>40</v>
      </c>
      <c r="B38" s="7" t="s">
        <v>41</v>
      </c>
      <c r="C38" s="7" t="s">
        <v>42</v>
      </c>
      <c r="D38" s="7" t="s">
        <v>43</v>
      </c>
      <c r="E38" s="7" t="s">
        <v>44</v>
      </c>
      <c r="F38" s="7" t="s">
        <v>45</v>
      </c>
      <c r="G38" s="7" t="s">
        <v>46</v>
      </c>
    </row>
    <row r="39" spans="1:7" x14ac:dyDescent="0.2">
      <c r="A39" s="4" t="s">
        <v>127</v>
      </c>
      <c r="B39" s="4" t="s">
        <v>128</v>
      </c>
      <c r="C39" s="8">
        <v>0</v>
      </c>
      <c r="D39" s="8">
        <v>200</v>
      </c>
      <c r="E39" s="8">
        <v>400</v>
      </c>
      <c r="F39" s="9" t="s">
        <v>49</v>
      </c>
      <c r="G39" s="10" t="s">
        <v>129</v>
      </c>
    </row>
    <row r="40" spans="1:7" x14ac:dyDescent="0.2">
      <c r="A40" s="4" t="s">
        <v>130</v>
      </c>
      <c r="B40" s="4" t="s">
        <v>131</v>
      </c>
      <c r="C40" s="8">
        <v>240</v>
      </c>
      <c r="D40" s="8">
        <v>320</v>
      </c>
      <c r="E40" s="8">
        <v>400</v>
      </c>
      <c r="F40" s="9" t="s">
        <v>49</v>
      </c>
      <c r="G40" s="10" t="s">
        <v>132</v>
      </c>
    </row>
    <row r="41" spans="1:7" x14ac:dyDescent="0.2">
      <c r="A41" s="4" t="s">
        <v>133</v>
      </c>
      <c r="B41" s="4" t="s">
        <v>134</v>
      </c>
      <c r="C41" s="8">
        <v>80</v>
      </c>
      <c r="D41" s="8">
        <v>120</v>
      </c>
      <c r="E41" s="8">
        <v>180</v>
      </c>
      <c r="F41" s="9" t="s">
        <v>49</v>
      </c>
      <c r="G41" s="10" t="s">
        <v>135</v>
      </c>
    </row>
    <row r="42" spans="1:7" x14ac:dyDescent="0.2">
      <c r="A42" s="4" t="s">
        <v>136</v>
      </c>
      <c r="B42" s="4" t="s">
        <v>137</v>
      </c>
      <c r="C42" s="8">
        <v>120</v>
      </c>
      <c r="D42" s="8">
        <v>200</v>
      </c>
      <c r="E42" s="8">
        <v>320</v>
      </c>
      <c r="F42" s="9" t="s">
        <v>49</v>
      </c>
      <c r="G42" s="10" t="s">
        <v>138</v>
      </c>
    </row>
    <row r="43" spans="1:7" x14ac:dyDescent="0.2">
      <c r="A43" s="4" t="s">
        <v>139</v>
      </c>
      <c r="B43" s="4" t="s">
        <v>140</v>
      </c>
      <c r="C43" s="8">
        <v>100</v>
      </c>
      <c r="D43" s="8">
        <v>160</v>
      </c>
      <c r="E43" s="8">
        <v>240</v>
      </c>
      <c r="F43" s="9" t="s">
        <v>49</v>
      </c>
      <c r="G43" s="10" t="s">
        <v>141</v>
      </c>
    </row>
    <row r="44" spans="1:7" x14ac:dyDescent="0.2">
      <c r="A44" s="4" t="s">
        <v>142</v>
      </c>
      <c r="B44" s="4" t="s">
        <v>143</v>
      </c>
      <c r="C44" s="8">
        <v>0</v>
      </c>
      <c r="D44" s="8">
        <v>80</v>
      </c>
      <c r="E44" s="8">
        <v>150</v>
      </c>
      <c r="F44" s="9" t="s">
        <v>49</v>
      </c>
      <c r="G44" s="10" t="s">
        <v>144</v>
      </c>
    </row>
    <row r="45" spans="1:7" x14ac:dyDescent="0.2">
      <c r="B45" s="12" t="s">
        <v>145</v>
      </c>
      <c r="C45" s="13">
        <f>SUM(C39:C44)</f>
        <v>540</v>
      </c>
      <c r="D45" s="13">
        <f>SUM(D39:D44)</f>
        <v>1080</v>
      </c>
      <c r="E45" s="13">
        <f>SUM(E39:E44)</f>
        <v>1690</v>
      </c>
    </row>
    <row r="47" spans="1:7" x14ac:dyDescent="0.2">
      <c r="A47" s="61" t="s">
        <v>146</v>
      </c>
      <c r="B47" s="56"/>
      <c r="C47" s="56"/>
      <c r="D47" s="56"/>
      <c r="E47" s="56"/>
      <c r="F47" s="56"/>
      <c r="G47" s="56"/>
    </row>
    <row r="48" spans="1:7" x14ac:dyDescent="0.2">
      <c r="A48" s="7" t="s">
        <v>40</v>
      </c>
      <c r="B48" s="7" t="s">
        <v>41</v>
      </c>
      <c r="C48" s="7" t="s">
        <v>42</v>
      </c>
      <c r="D48" s="7" t="s">
        <v>43</v>
      </c>
      <c r="E48" s="7" t="s">
        <v>44</v>
      </c>
      <c r="F48" s="7" t="s">
        <v>45</v>
      </c>
      <c r="G48" s="7" t="s">
        <v>46</v>
      </c>
    </row>
    <row r="49" spans="1:7" ht="26" x14ac:dyDescent="0.2">
      <c r="A49" s="4" t="s">
        <v>147</v>
      </c>
      <c r="B49" s="4" t="s">
        <v>148</v>
      </c>
      <c r="C49" s="8">
        <v>160</v>
      </c>
      <c r="D49" s="8">
        <v>220</v>
      </c>
      <c r="E49" s="8">
        <v>300</v>
      </c>
      <c r="F49" s="9" t="s">
        <v>49</v>
      </c>
      <c r="G49" s="10" t="s">
        <v>149</v>
      </c>
    </row>
    <row r="50" spans="1:7" ht="26" x14ac:dyDescent="0.2">
      <c r="A50" s="4" t="s">
        <v>150</v>
      </c>
      <c r="B50" s="4" t="s">
        <v>151</v>
      </c>
      <c r="C50" s="8">
        <v>60</v>
      </c>
      <c r="D50" s="8">
        <v>110</v>
      </c>
      <c r="E50" s="8">
        <v>160</v>
      </c>
      <c r="F50" s="9" t="s">
        <v>49</v>
      </c>
      <c r="G50" s="10" t="s">
        <v>152</v>
      </c>
    </row>
    <row r="51" spans="1:7" x14ac:dyDescent="0.2">
      <c r="A51" s="4" t="s">
        <v>153</v>
      </c>
      <c r="B51" s="4" t="s">
        <v>154</v>
      </c>
      <c r="C51" s="8">
        <v>100</v>
      </c>
      <c r="D51" s="8">
        <v>200</v>
      </c>
      <c r="E51" s="8">
        <v>300</v>
      </c>
      <c r="F51" s="9" t="s">
        <v>49</v>
      </c>
      <c r="G51" s="10" t="s">
        <v>155</v>
      </c>
    </row>
    <row r="52" spans="1:7" x14ac:dyDescent="0.2">
      <c r="A52" s="4" t="s">
        <v>156</v>
      </c>
      <c r="B52" s="4" t="s">
        <v>157</v>
      </c>
      <c r="C52" s="8">
        <v>600</v>
      </c>
      <c r="D52" s="8">
        <v>800</v>
      </c>
      <c r="E52" s="8">
        <v>1200</v>
      </c>
      <c r="F52" s="9" t="s">
        <v>49</v>
      </c>
      <c r="G52" s="10" t="s">
        <v>158</v>
      </c>
    </row>
    <row r="53" spans="1:7" x14ac:dyDescent="0.2">
      <c r="A53" s="4" t="s">
        <v>159</v>
      </c>
      <c r="B53" s="4" t="s">
        <v>160</v>
      </c>
      <c r="C53" s="8">
        <v>60</v>
      </c>
      <c r="D53" s="8">
        <v>1000</v>
      </c>
      <c r="E53" s="8">
        <v>1500</v>
      </c>
      <c r="F53" s="9" t="s">
        <v>49</v>
      </c>
      <c r="G53" s="10" t="s">
        <v>161</v>
      </c>
    </row>
    <row r="54" spans="1:7" x14ac:dyDescent="0.2">
      <c r="B54" s="12" t="s">
        <v>162</v>
      </c>
      <c r="C54" s="13">
        <f>SUM(C49:C53)</f>
        <v>980</v>
      </c>
      <c r="D54" s="13">
        <f>SUM(D49:D53)</f>
        <v>2330</v>
      </c>
      <c r="E54" s="13">
        <f>SUM(E49:E53)</f>
        <v>3460</v>
      </c>
    </row>
    <row r="56" spans="1:7" x14ac:dyDescent="0.2">
      <c r="B56" s="14" t="s">
        <v>163</v>
      </c>
      <c r="C56" s="15">
        <f>C14+C35+C45+C54</f>
        <v>11200</v>
      </c>
      <c r="D56" s="15">
        <f>D14+D35+D45+D54</f>
        <v>17061</v>
      </c>
      <c r="E56" s="15">
        <f>E14+E35+E45+E54</f>
        <v>23740</v>
      </c>
    </row>
    <row r="57" spans="1:7" x14ac:dyDescent="0.2">
      <c r="B57" s="2" t="s">
        <v>164</v>
      </c>
      <c r="C57" s="16">
        <f>C18+C19+C21+C22+C23+C24+C25+C27+C28+C29+C31+C32</f>
        <v>5430</v>
      </c>
      <c r="D57" s="16">
        <f>D18+D19+D21+D22+D23+D24+D25+D27+D28+D29+D31+D32</f>
        <v>7570</v>
      </c>
      <c r="E57" s="16">
        <f>E18+E19+E21+E22+E23+E24+E25+E27+E28+E29+E31+E32</f>
        <v>10440</v>
      </c>
    </row>
    <row r="58" spans="1:7" x14ac:dyDescent="0.2">
      <c r="B58" s="17" t="s">
        <v>165</v>
      </c>
      <c r="C58" s="18">
        <f>C56-C57</f>
        <v>5770</v>
      </c>
      <c r="D58" s="18">
        <f>D56-D57</f>
        <v>9491</v>
      </c>
      <c r="E58" s="18">
        <f>E56-E57</f>
        <v>13300</v>
      </c>
    </row>
    <row r="60" spans="1:7" x14ac:dyDescent="0.2">
      <c r="A60" s="57" t="s">
        <v>166</v>
      </c>
      <c r="B60" s="56"/>
      <c r="C60" s="56"/>
      <c r="D60" s="56"/>
      <c r="E60" s="56"/>
      <c r="F60" s="56"/>
      <c r="G60" s="56"/>
    </row>
  </sheetData>
  <mergeCells count="7">
    <mergeCell ref="A1:G1"/>
    <mergeCell ref="A4:G4"/>
    <mergeCell ref="A16:G16"/>
    <mergeCell ref="A2:G2"/>
    <mergeCell ref="A60:G60"/>
    <mergeCell ref="A47:G47"/>
    <mergeCell ref="A37:G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workbookViewId="0">
      <pane ySplit="5" topLeftCell="A6" activePane="bottomLeft" state="frozen"/>
      <selection pane="bottomLeft" sqref="A1:F1"/>
    </sheetView>
  </sheetViews>
  <sheetFormatPr baseColWidth="10" defaultColWidth="8.83203125" defaultRowHeight="15" x14ac:dyDescent="0.2"/>
  <cols>
    <col min="1" max="1" width="6" customWidth="1"/>
    <col min="2" max="2" width="28" customWidth="1"/>
    <col min="3" max="5" width="14" customWidth="1"/>
    <col min="6" max="6" width="30" customWidth="1"/>
  </cols>
  <sheetData>
    <row r="1" spans="1:6" x14ac:dyDescent="0.2">
      <c r="A1" s="59" t="s">
        <v>167</v>
      </c>
      <c r="B1" s="60"/>
      <c r="C1" s="60"/>
      <c r="D1" s="60"/>
      <c r="E1" s="60"/>
      <c r="F1" s="60"/>
    </row>
    <row r="2" spans="1:6" x14ac:dyDescent="0.2">
      <c r="A2" s="57" t="s">
        <v>168</v>
      </c>
      <c r="B2" s="56"/>
      <c r="C2" s="56"/>
      <c r="D2" s="56"/>
      <c r="E2" s="56"/>
      <c r="F2" s="56"/>
    </row>
    <row r="4" spans="1:6" x14ac:dyDescent="0.2">
      <c r="A4" s="61" t="s">
        <v>169</v>
      </c>
      <c r="B4" s="56"/>
      <c r="C4" s="56"/>
      <c r="D4" s="56"/>
      <c r="E4" s="56"/>
      <c r="F4" s="56"/>
    </row>
    <row r="5" spans="1:6" x14ac:dyDescent="0.2">
      <c r="A5" s="7" t="s">
        <v>40</v>
      </c>
      <c r="B5" s="7" t="s">
        <v>170</v>
      </c>
      <c r="C5" s="7" t="s">
        <v>171</v>
      </c>
      <c r="D5" s="7" t="s">
        <v>43</v>
      </c>
      <c r="E5" s="7" t="s">
        <v>172</v>
      </c>
      <c r="F5" s="7" t="s">
        <v>46</v>
      </c>
    </row>
    <row r="6" spans="1:6" ht="26" x14ac:dyDescent="0.2">
      <c r="A6" s="4" t="s">
        <v>173</v>
      </c>
      <c r="B6" s="4" t="s">
        <v>174</v>
      </c>
      <c r="C6" s="19">
        <v>25</v>
      </c>
      <c r="D6" s="19">
        <v>40</v>
      </c>
      <c r="E6" s="19">
        <v>65</v>
      </c>
      <c r="F6" s="10" t="s">
        <v>175</v>
      </c>
    </row>
    <row r="7" spans="1:6" ht="26" x14ac:dyDescent="0.2">
      <c r="A7" s="4" t="s">
        <v>176</v>
      </c>
      <c r="B7" s="4" t="s">
        <v>177</v>
      </c>
      <c r="C7" s="20">
        <v>12</v>
      </c>
      <c r="D7" s="20">
        <v>13</v>
      </c>
      <c r="E7" s="20">
        <v>14</v>
      </c>
      <c r="F7" s="10" t="s">
        <v>178</v>
      </c>
    </row>
    <row r="8" spans="1:6" x14ac:dyDescent="0.2">
      <c r="A8" s="4" t="s">
        <v>179</v>
      </c>
      <c r="B8" s="4" t="s">
        <v>180</v>
      </c>
      <c r="C8" s="19">
        <v>0</v>
      </c>
      <c r="D8" s="19">
        <v>1</v>
      </c>
      <c r="E8" s="19">
        <v>3</v>
      </c>
      <c r="F8" s="10" t="s">
        <v>181</v>
      </c>
    </row>
    <row r="9" spans="1:6" x14ac:dyDescent="0.2">
      <c r="A9" s="4" t="s">
        <v>182</v>
      </c>
      <c r="B9" s="4" t="s">
        <v>183</v>
      </c>
      <c r="C9" s="8">
        <v>30</v>
      </c>
      <c r="D9" s="8">
        <v>35</v>
      </c>
      <c r="E9" s="8">
        <v>40</v>
      </c>
      <c r="F9" s="10" t="s">
        <v>184</v>
      </c>
    </row>
    <row r="10" spans="1:6" x14ac:dyDescent="0.2">
      <c r="A10" s="4" t="s">
        <v>185</v>
      </c>
      <c r="B10" s="4" t="s">
        <v>186</v>
      </c>
      <c r="C10" s="20">
        <v>0</v>
      </c>
      <c r="D10" s="20">
        <v>0.5</v>
      </c>
      <c r="E10" s="20">
        <v>1.5</v>
      </c>
      <c r="F10" s="10" t="s">
        <v>187</v>
      </c>
    </row>
    <row r="12" spans="1:6" x14ac:dyDescent="0.2">
      <c r="B12" s="5" t="s">
        <v>188</v>
      </c>
      <c r="C12" s="21">
        <f>C6*C7+C8*C9+C6*C10</f>
        <v>300</v>
      </c>
      <c r="D12" s="21">
        <f>D6*D7+D8*D9+D6*D10</f>
        <v>575</v>
      </c>
      <c r="E12" s="21">
        <f>E6*E7+E8*E9+E6*E10</f>
        <v>1127.5</v>
      </c>
    </row>
    <row r="14" spans="1:6" x14ac:dyDescent="0.2">
      <c r="A14" s="4" t="s">
        <v>189</v>
      </c>
      <c r="B14" s="4" t="s">
        <v>190</v>
      </c>
      <c r="C14" s="19">
        <v>4</v>
      </c>
      <c r="D14" s="19">
        <v>4</v>
      </c>
      <c r="E14" s="19">
        <v>4</v>
      </c>
      <c r="F14" s="1" t="s">
        <v>191</v>
      </c>
    </row>
    <row r="16" spans="1:6" x14ac:dyDescent="0.2">
      <c r="B16" s="14" t="s">
        <v>192</v>
      </c>
      <c r="C16" s="15">
        <f>C12*C14</f>
        <v>1200</v>
      </c>
      <c r="D16" s="15">
        <f>D12*D14</f>
        <v>2300</v>
      </c>
      <c r="E16" s="15">
        <f>E12*E14</f>
        <v>4510</v>
      </c>
    </row>
    <row r="19" spans="1:6" x14ac:dyDescent="0.2">
      <c r="A19" s="61" t="s">
        <v>193</v>
      </c>
      <c r="B19" s="56"/>
      <c r="C19" s="56"/>
      <c r="D19" s="56"/>
      <c r="E19" s="56"/>
      <c r="F19" s="56"/>
    </row>
    <row r="20" spans="1:6" x14ac:dyDescent="0.2">
      <c r="A20" s="7" t="s">
        <v>194</v>
      </c>
      <c r="B20" s="7" t="s">
        <v>195</v>
      </c>
      <c r="C20" s="7" t="s">
        <v>171</v>
      </c>
      <c r="D20" s="7" t="s">
        <v>43</v>
      </c>
      <c r="E20" s="7" t="s">
        <v>172</v>
      </c>
      <c r="F20" s="7" t="s">
        <v>46</v>
      </c>
    </row>
    <row r="21" spans="1:6" x14ac:dyDescent="0.2">
      <c r="A21" s="4" t="s">
        <v>196</v>
      </c>
      <c r="B21" s="4" t="s">
        <v>197</v>
      </c>
      <c r="C21" s="22">
        <f>C12</f>
        <v>300</v>
      </c>
      <c r="D21" s="22">
        <f>D12</f>
        <v>575</v>
      </c>
      <c r="E21" s="22">
        <f>E12</f>
        <v>1127.5</v>
      </c>
      <c r="F21" s="10" t="s">
        <v>198</v>
      </c>
    </row>
    <row r="22" spans="1:6" x14ac:dyDescent="0.2">
      <c r="A22" s="4" t="s">
        <v>199</v>
      </c>
      <c r="B22" s="4" t="s">
        <v>200</v>
      </c>
      <c r="C22" s="22">
        <f>C12</f>
        <v>300</v>
      </c>
      <c r="D22" s="22">
        <f>D12</f>
        <v>575</v>
      </c>
      <c r="E22" s="22">
        <f>E12</f>
        <v>1127.5</v>
      </c>
      <c r="F22" s="10" t="s">
        <v>201</v>
      </c>
    </row>
    <row r="23" spans="1:6" x14ac:dyDescent="0.2">
      <c r="A23" s="4" t="s">
        <v>202</v>
      </c>
      <c r="B23" s="4" t="s">
        <v>203</v>
      </c>
      <c r="C23" s="22">
        <f>C12</f>
        <v>300</v>
      </c>
      <c r="D23" s="22">
        <f>D12</f>
        <v>575</v>
      </c>
      <c r="E23" s="22">
        <f>E12</f>
        <v>1127.5</v>
      </c>
      <c r="F23" s="10" t="s">
        <v>204</v>
      </c>
    </row>
    <row r="24" spans="1:6" x14ac:dyDescent="0.2">
      <c r="A24" s="4" t="s">
        <v>205</v>
      </c>
      <c r="B24" s="4" t="s">
        <v>206</v>
      </c>
      <c r="C24" s="22">
        <f>C12</f>
        <v>300</v>
      </c>
      <c r="D24" s="22">
        <f>D12</f>
        <v>575</v>
      </c>
      <c r="E24" s="22">
        <f>E12</f>
        <v>1127.5</v>
      </c>
      <c r="F24" s="10" t="s">
        <v>207</v>
      </c>
    </row>
    <row r="25" spans="1:6" x14ac:dyDescent="0.2">
      <c r="B25" s="17" t="s">
        <v>208</v>
      </c>
      <c r="C25" s="21">
        <f>SUM(C21:C24)</f>
        <v>1200</v>
      </c>
      <c r="D25" s="21">
        <f>SUM(D21:D24)</f>
        <v>2300</v>
      </c>
      <c r="E25" s="21">
        <f>SUM(E21:E24)</f>
        <v>4510</v>
      </c>
    </row>
    <row r="27" spans="1:6" x14ac:dyDescent="0.2">
      <c r="A27" s="57" t="s">
        <v>209</v>
      </c>
      <c r="B27" s="56"/>
      <c r="C27" s="56"/>
      <c r="D27" s="56"/>
      <c r="E27" s="56"/>
      <c r="F27" s="56"/>
    </row>
  </sheetData>
  <mergeCells count="5">
    <mergeCell ref="A2:F2"/>
    <mergeCell ref="A19:F19"/>
    <mergeCell ref="A1:F1"/>
    <mergeCell ref="A27:F27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>
      <pane ySplit="4" topLeftCell="A5" activePane="bottomLeft" state="frozen"/>
      <selection pane="bottomLeft" sqref="A1:E1"/>
    </sheetView>
  </sheetViews>
  <sheetFormatPr baseColWidth="10" defaultColWidth="8.83203125" defaultRowHeight="15" x14ac:dyDescent="0.2"/>
  <cols>
    <col min="1" max="1" width="44" customWidth="1"/>
    <col min="2" max="4" width="14" customWidth="1"/>
    <col min="5" max="5" width="38" customWidth="1"/>
  </cols>
  <sheetData>
    <row r="1" spans="1:5" x14ac:dyDescent="0.2">
      <c r="A1" s="59" t="s">
        <v>210</v>
      </c>
      <c r="B1" s="60"/>
      <c r="C1" s="60"/>
      <c r="D1" s="60"/>
      <c r="E1" s="60"/>
    </row>
    <row r="2" spans="1:5" x14ac:dyDescent="0.2">
      <c r="A2" s="57" t="s">
        <v>211</v>
      </c>
      <c r="B2" s="56"/>
      <c r="C2" s="56"/>
      <c r="D2" s="56"/>
      <c r="E2" s="56"/>
    </row>
    <row r="4" spans="1:5" x14ac:dyDescent="0.2">
      <c r="A4" s="7" t="s">
        <v>212</v>
      </c>
      <c r="B4" s="7" t="s">
        <v>171</v>
      </c>
      <c r="C4" s="7" t="s">
        <v>43</v>
      </c>
      <c r="D4" s="7" t="s">
        <v>172</v>
      </c>
      <c r="E4" s="7" t="s">
        <v>46</v>
      </c>
    </row>
    <row r="5" spans="1:5" x14ac:dyDescent="0.2">
      <c r="A5" s="2" t="s">
        <v>213</v>
      </c>
      <c r="B5" s="22">
        <f>'2. P1 Budget'!C56</f>
        <v>11200</v>
      </c>
      <c r="C5" s="22">
        <f>'2. P1 Budget'!D56</f>
        <v>17061</v>
      </c>
      <c r="D5" s="22">
        <f>'2. P1 Budget'!E56</f>
        <v>23740</v>
      </c>
      <c r="E5" s="10" t="s">
        <v>214</v>
      </c>
    </row>
    <row r="6" spans="1:5" x14ac:dyDescent="0.2">
      <c r="A6" s="4" t="s">
        <v>215</v>
      </c>
      <c r="B6" s="22">
        <f>'2. P1 Budget'!C57</f>
        <v>5430</v>
      </c>
      <c r="C6" s="22">
        <f>'2. P1 Budget'!D57</f>
        <v>7570</v>
      </c>
      <c r="D6" s="22">
        <f>'2. P1 Budget'!E57</f>
        <v>10440</v>
      </c>
      <c r="E6" s="10" t="s">
        <v>216</v>
      </c>
    </row>
    <row r="7" spans="1:5" x14ac:dyDescent="0.2">
      <c r="A7" s="17" t="s">
        <v>217</v>
      </c>
      <c r="B7" s="11">
        <f>B5-B6</f>
        <v>5770</v>
      </c>
      <c r="C7" s="11">
        <f>C5-C6</f>
        <v>9491</v>
      </c>
      <c r="D7" s="11">
        <f>D5-D6</f>
        <v>13300</v>
      </c>
      <c r="E7" s="10" t="s">
        <v>218</v>
      </c>
    </row>
    <row r="8" spans="1:5" x14ac:dyDescent="0.2">
      <c r="A8" s="4"/>
      <c r="E8" s="10"/>
    </row>
    <row r="9" spans="1:5" x14ac:dyDescent="0.2">
      <c r="A9" s="2" t="s">
        <v>219</v>
      </c>
      <c r="B9" s="22">
        <f>'3. P1 Revenue'!C16</f>
        <v>1200</v>
      </c>
      <c r="C9" s="22">
        <f>'3. P1 Revenue'!D16</f>
        <v>2300</v>
      </c>
      <c r="D9" s="22">
        <f>'3. P1 Revenue'!E16</f>
        <v>4510</v>
      </c>
      <c r="E9" s="10" t="s">
        <v>220</v>
      </c>
    </row>
    <row r="10" spans="1:5" x14ac:dyDescent="0.2">
      <c r="A10" s="4"/>
      <c r="E10" s="10"/>
    </row>
    <row r="11" spans="1:5" x14ac:dyDescent="0.2">
      <c r="A11" s="23" t="s">
        <v>221</v>
      </c>
      <c r="B11" s="24">
        <f>B9-B7</f>
        <v>-4570</v>
      </c>
      <c r="C11" s="24">
        <f>C9-C7</f>
        <v>-7191</v>
      </c>
      <c r="D11" s="24">
        <f>D9-D7</f>
        <v>-8790</v>
      </c>
      <c r="E11" s="10" t="s">
        <v>222</v>
      </c>
    </row>
    <row r="12" spans="1:5" x14ac:dyDescent="0.2">
      <c r="A12" s="4"/>
      <c r="E12" s="10"/>
    </row>
    <row r="13" spans="1:5" x14ac:dyDescent="0.2">
      <c r="A13" s="25" t="s">
        <v>223</v>
      </c>
      <c r="B13" s="26">
        <f>IFERROR(B9/B7,0)</f>
        <v>0.20797227036395147</v>
      </c>
      <c r="C13" s="26">
        <f>IFERROR(C9/C7,0)</f>
        <v>0.24233484353598145</v>
      </c>
      <c r="D13" s="26">
        <f>IFERROR(D9/D7,0)</f>
        <v>0.33909774436090223</v>
      </c>
      <c r="E13" s="10" t="s">
        <v>224</v>
      </c>
    </row>
    <row r="15" spans="1:5" x14ac:dyDescent="0.2">
      <c r="A15" s="55" t="s">
        <v>225</v>
      </c>
      <c r="B15" s="56"/>
      <c r="C15" s="56"/>
      <c r="D15" s="56"/>
      <c r="E15" s="56"/>
    </row>
    <row r="16" spans="1:5" ht="30" customHeight="1" x14ac:dyDescent="0.2">
      <c r="A16" s="62" t="s">
        <v>226</v>
      </c>
      <c r="B16" s="56"/>
      <c r="C16" s="56"/>
      <c r="D16" s="56"/>
      <c r="E16" s="56"/>
    </row>
    <row r="17" spans="1:5" ht="30" customHeight="1" x14ac:dyDescent="0.2">
      <c r="A17" s="62" t="s">
        <v>227</v>
      </c>
      <c r="B17" s="56"/>
      <c r="C17" s="56"/>
      <c r="D17" s="56"/>
      <c r="E17" s="56"/>
    </row>
    <row r="18" spans="1:5" ht="30" customHeight="1" x14ac:dyDescent="0.2">
      <c r="A18" s="62" t="s">
        <v>228</v>
      </c>
      <c r="B18" s="56"/>
      <c r="C18" s="56"/>
      <c r="D18" s="56"/>
      <c r="E18" s="56"/>
    </row>
    <row r="19" spans="1:5" ht="30" customHeight="1" x14ac:dyDescent="0.2">
      <c r="A19" s="62" t="s">
        <v>229</v>
      </c>
      <c r="B19" s="56"/>
      <c r="C19" s="56"/>
      <c r="D19" s="56"/>
      <c r="E19" s="56"/>
    </row>
  </sheetData>
  <mergeCells count="7">
    <mergeCell ref="A2:E2"/>
    <mergeCell ref="A16:E16"/>
    <mergeCell ref="A15:E15"/>
    <mergeCell ref="A19:E19"/>
    <mergeCell ref="A1:E1"/>
    <mergeCell ref="A17:E17"/>
    <mergeCell ref="A18:E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>
      <pane ySplit="4" topLeftCell="A5" activePane="bottomLeft" state="frozen"/>
      <selection pane="bottomLeft" sqref="A1:G1"/>
    </sheetView>
  </sheetViews>
  <sheetFormatPr baseColWidth="10" defaultColWidth="8.83203125" defaultRowHeight="15" x14ac:dyDescent="0.2"/>
  <cols>
    <col min="1" max="1" width="6" customWidth="1"/>
    <col min="2" max="2" width="46" customWidth="1"/>
    <col min="3" max="5" width="14" customWidth="1"/>
    <col min="6" max="6" width="16" customWidth="1"/>
    <col min="7" max="7" width="38" customWidth="1"/>
  </cols>
  <sheetData>
    <row r="1" spans="1:7" x14ac:dyDescent="0.2">
      <c r="A1" s="59" t="s">
        <v>230</v>
      </c>
      <c r="B1" s="60"/>
      <c r="C1" s="60"/>
      <c r="D1" s="60"/>
      <c r="E1" s="60"/>
      <c r="F1" s="60"/>
      <c r="G1" s="60"/>
    </row>
    <row r="2" spans="1:7" x14ac:dyDescent="0.2">
      <c r="A2" s="57" t="s">
        <v>231</v>
      </c>
      <c r="B2" s="56"/>
      <c r="C2" s="56"/>
      <c r="D2" s="56"/>
      <c r="E2" s="56"/>
      <c r="F2" s="56"/>
      <c r="G2" s="56"/>
    </row>
    <row r="4" spans="1:7" x14ac:dyDescent="0.2">
      <c r="A4" s="7" t="s">
        <v>40</v>
      </c>
      <c r="B4" s="7" t="s">
        <v>41</v>
      </c>
      <c r="C4" s="7" t="s">
        <v>42</v>
      </c>
      <c r="D4" s="7" t="s">
        <v>43</v>
      </c>
      <c r="E4" s="7" t="s">
        <v>44</v>
      </c>
      <c r="F4" s="7" t="s">
        <v>232</v>
      </c>
      <c r="G4" s="7" t="s">
        <v>46</v>
      </c>
    </row>
    <row r="5" spans="1:7" ht="26" x14ac:dyDescent="0.2">
      <c r="A5" s="4" t="s">
        <v>233</v>
      </c>
      <c r="B5" s="4" t="s">
        <v>234</v>
      </c>
      <c r="C5" s="8">
        <v>400</v>
      </c>
      <c r="D5" s="8">
        <v>800</v>
      </c>
      <c r="E5" s="8">
        <v>1500</v>
      </c>
      <c r="F5" s="9" t="s">
        <v>235</v>
      </c>
      <c r="G5" s="10" t="s">
        <v>236</v>
      </c>
    </row>
    <row r="6" spans="1:7" x14ac:dyDescent="0.2">
      <c r="A6" s="4" t="s">
        <v>237</v>
      </c>
      <c r="B6" s="4" t="s">
        <v>238</v>
      </c>
      <c r="C6" s="8">
        <v>3000</v>
      </c>
      <c r="D6" s="8">
        <v>4500</v>
      </c>
      <c r="E6" s="8">
        <v>6500</v>
      </c>
      <c r="F6" s="9" t="s">
        <v>49</v>
      </c>
      <c r="G6" s="10" t="s">
        <v>239</v>
      </c>
    </row>
    <row r="7" spans="1:7" x14ac:dyDescent="0.2">
      <c r="A7" s="4" t="s">
        <v>240</v>
      </c>
      <c r="B7" s="4" t="s">
        <v>241</v>
      </c>
      <c r="C7" s="8">
        <v>1500</v>
      </c>
      <c r="D7" s="8">
        <v>1800</v>
      </c>
      <c r="E7" s="8">
        <v>2800</v>
      </c>
      <c r="F7" s="9" t="s">
        <v>49</v>
      </c>
      <c r="G7" s="10" t="s">
        <v>242</v>
      </c>
    </row>
    <row r="8" spans="1:7" x14ac:dyDescent="0.2">
      <c r="A8" s="4" t="s">
        <v>243</v>
      </c>
      <c r="B8" s="4" t="s">
        <v>244</v>
      </c>
      <c r="C8" s="8">
        <v>200</v>
      </c>
      <c r="D8" s="8">
        <v>350</v>
      </c>
      <c r="E8" s="8">
        <v>550</v>
      </c>
      <c r="F8" s="9" t="s">
        <v>49</v>
      </c>
      <c r="G8" s="10" t="s">
        <v>245</v>
      </c>
    </row>
    <row r="9" spans="1:7" x14ac:dyDescent="0.2">
      <c r="A9" s="4" t="s">
        <v>246</v>
      </c>
      <c r="B9" s="4" t="s">
        <v>247</v>
      </c>
      <c r="C9" s="8">
        <v>800</v>
      </c>
      <c r="D9" s="8">
        <v>1200</v>
      </c>
      <c r="E9" s="8">
        <v>1800</v>
      </c>
      <c r="F9" s="9" t="s">
        <v>59</v>
      </c>
      <c r="G9" s="10" t="s">
        <v>248</v>
      </c>
    </row>
    <row r="10" spans="1:7" x14ac:dyDescent="0.2">
      <c r="A10" s="4" t="s">
        <v>249</v>
      </c>
      <c r="B10" s="4" t="s">
        <v>250</v>
      </c>
      <c r="C10" s="8">
        <v>800</v>
      </c>
      <c r="D10" s="8">
        <v>1200</v>
      </c>
      <c r="E10" s="8">
        <v>1800</v>
      </c>
      <c r="F10" s="9" t="s">
        <v>49</v>
      </c>
      <c r="G10" s="10" t="s">
        <v>251</v>
      </c>
    </row>
    <row r="11" spans="1:7" x14ac:dyDescent="0.2">
      <c r="A11" s="4" t="s">
        <v>252</v>
      </c>
      <c r="B11" s="4" t="s">
        <v>253</v>
      </c>
      <c r="C11" s="8">
        <v>600</v>
      </c>
      <c r="D11" s="8">
        <v>900</v>
      </c>
      <c r="E11" s="8">
        <v>1300</v>
      </c>
      <c r="F11" s="9" t="s">
        <v>49</v>
      </c>
      <c r="G11" s="10" t="s">
        <v>254</v>
      </c>
    </row>
    <row r="12" spans="1:7" x14ac:dyDescent="0.2">
      <c r="A12" s="4" t="s">
        <v>255</v>
      </c>
      <c r="B12" s="4" t="s">
        <v>256</v>
      </c>
      <c r="C12" s="8">
        <v>800</v>
      </c>
      <c r="D12" s="8">
        <v>1000</v>
      </c>
      <c r="E12" s="8">
        <v>1500</v>
      </c>
      <c r="F12" s="9" t="s">
        <v>49</v>
      </c>
      <c r="G12" s="10" t="s">
        <v>257</v>
      </c>
    </row>
    <row r="13" spans="1:7" x14ac:dyDescent="0.2">
      <c r="A13" s="4" t="s">
        <v>258</v>
      </c>
      <c r="B13" s="4" t="s">
        <v>259</v>
      </c>
      <c r="C13" s="8">
        <v>200</v>
      </c>
      <c r="D13" s="8">
        <v>350</v>
      </c>
      <c r="E13" s="8">
        <v>500</v>
      </c>
      <c r="F13" s="9" t="s">
        <v>49</v>
      </c>
      <c r="G13" s="10" t="s">
        <v>260</v>
      </c>
    </row>
    <row r="14" spans="1:7" x14ac:dyDescent="0.2">
      <c r="A14" s="4" t="s">
        <v>261</v>
      </c>
      <c r="B14" s="4" t="s">
        <v>262</v>
      </c>
      <c r="C14" s="8">
        <v>400</v>
      </c>
      <c r="D14" s="8">
        <v>600</v>
      </c>
      <c r="E14" s="8">
        <v>1000</v>
      </c>
      <c r="F14" s="9" t="s">
        <v>49</v>
      </c>
      <c r="G14" s="10" t="s">
        <v>263</v>
      </c>
    </row>
    <row r="15" spans="1:7" x14ac:dyDescent="0.2">
      <c r="A15" s="4" t="s">
        <v>264</v>
      </c>
      <c r="B15" s="4" t="s">
        <v>265</v>
      </c>
      <c r="C15" s="8">
        <v>200</v>
      </c>
      <c r="D15" s="8">
        <v>350</v>
      </c>
      <c r="E15" s="8">
        <v>600</v>
      </c>
      <c r="F15" s="9" t="s">
        <v>49</v>
      </c>
      <c r="G15" s="10" t="s">
        <v>266</v>
      </c>
    </row>
    <row r="16" spans="1:7" x14ac:dyDescent="0.2">
      <c r="A16" s="4" t="s">
        <v>267</v>
      </c>
      <c r="B16" s="4" t="s">
        <v>268</v>
      </c>
      <c r="C16" s="8">
        <v>300</v>
      </c>
      <c r="D16" s="8">
        <v>450</v>
      </c>
      <c r="E16" s="8">
        <v>700</v>
      </c>
      <c r="F16" s="9" t="s">
        <v>49</v>
      </c>
      <c r="G16" s="10" t="s">
        <v>269</v>
      </c>
    </row>
    <row r="17" spans="1:7" x14ac:dyDescent="0.2">
      <c r="A17" s="4" t="s">
        <v>270</v>
      </c>
      <c r="B17" s="4" t="s">
        <v>271</v>
      </c>
      <c r="C17" s="8">
        <v>100</v>
      </c>
      <c r="D17" s="8">
        <v>200</v>
      </c>
      <c r="E17" s="8">
        <v>350</v>
      </c>
      <c r="F17" s="9" t="s">
        <v>49</v>
      </c>
      <c r="G17" s="10" t="s">
        <v>272</v>
      </c>
    </row>
    <row r="18" spans="1:7" x14ac:dyDescent="0.2">
      <c r="A18" s="4" t="s">
        <v>273</v>
      </c>
      <c r="B18" s="4" t="s">
        <v>71</v>
      </c>
      <c r="C18" s="11">
        <f>ROUND(0.1*SUM(C5:C17),0)</f>
        <v>930</v>
      </c>
      <c r="D18" s="11">
        <f>ROUND(0.1*SUM(D5:D17),0)</f>
        <v>1370</v>
      </c>
      <c r="E18" s="11">
        <f>ROUND(0.1*SUM(E5:E17),0)</f>
        <v>2090</v>
      </c>
      <c r="F18" s="4" t="s">
        <v>49</v>
      </c>
      <c r="G18" s="1" t="s">
        <v>72</v>
      </c>
    </row>
    <row r="19" spans="1:7" x14ac:dyDescent="0.2">
      <c r="B19" s="12" t="s">
        <v>274</v>
      </c>
      <c r="C19" s="13">
        <f>SUM(C5:C18)</f>
        <v>10230</v>
      </c>
      <c r="D19" s="13">
        <f>SUM(D5:D18)</f>
        <v>15070</v>
      </c>
      <c r="E19" s="13">
        <f>SUM(E5:E18)</f>
        <v>22990</v>
      </c>
    </row>
    <row r="20" spans="1:7" x14ac:dyDescent="0.2">
      <c r="B20" s="4" t="s">
        <v>275</v>
      </c>
      <c r="C20" s="22">
        <f>-'2. P1 Budget'!C57</f>
        <v>-5430</v>
      </c>
      <c r="D20" s="22">
        <f>-'2. P1 Budget'!D57</f>
        <v>-7570</v>
      </c>
      <c r="E20" s="22">
        <f>-'2. P1 Budget'!E57</f>
        <v>-10440</v>
      </c>
    </row>
    <row r="21" spans="1:7" x14ac:dyDescent="0.2">
      <c r="B21" s="14" t="s">
        <v>276</v>
      </c>
      <c r="C21" s="15">
        <f>C19+C20</f>
        <v>4800</v>
      </c>
      <c r="D21" s="15">
        <f>D19+D20</f>
        <v>7500</v>
      </c>
      <c r="E21" s="15">
        <f>E19+E20</f>
        <v>12550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9"/>
  <sheetViews>
    <sheetView workbookViewId="0">
      <pane ySplit="4" topLeftCell="A5" activePane="bottomLeft" state="frozen"/>
      <selection pane="bottomLeft" sqref="A1:E1"/>
    </sheetView>
  </sheetViews>
  <sheetFormatPr baseColWidth="10" defaultColWidth="8.83203125" defaultRowHeight="15" x14ac:dyDescent="0.2"/>
  <cols>
    <col min="1" max="1" width="50" customWidth="1"/>
    <col min="2" max="4" width="16" customWidth="1"/>
    <col min="5" max="5" width="38" customWidth="1"/>
  </cols>
  <sheetData>
    <row r="1" spans="1:5" x14ac:dyDescent="0.2">
      <c r="A1" s="59" t="s">
        <v>277</v>
      </c>
      <c r="B1" s="60"/>
      <c r="C1" s="60"/>
      <c r="D1" s="60"/>
      <c r="E1" s="60"/>
    </row>
    <row r="2" spans="1:5" x14ac:dyDescent="0.2">
      <c r="A2" s="57" t="s">
        <v>278</v>
      </c>
      <c r="B2" s="56"/>
      <c r="C2" s="56"/>
      <c r="D2" s="56"/>
      <c r="E2" s="56"/>
    </row>
    <row r="4" spans="1:5" x14ac:dyDescent="0.2">
      <c r="A4" s="7" t="s">
        <v>212</v>
      </c>
      <c r="B4" s="7" t="s">
        <v>171</v>
      </c>
      <c r="C4" s="7" t="s">
        <v>43</v>
      </c>
      <c r="D4" s="7" t="s">
        <v>172</v>
      </c>
      <c r="E4" s="7" t="s">
        <v>46</v>
      </c>
    </row>
    <row r="5" spans="1:5" x14ac:dyDescent="0.2">
      <c r="A5" s="2" t="s">
        <v>279</v>
      </c>
      <c r="B5" s="22">
        <f>'2. P1 Budget'!C58</f>
        <v>5770</v>
      </c>
      <c r="C5" s="22">
        <f>'2. P1 Budget'!D58</f>
        <v>9491</v>
      </c>
      <c r="D5" s="22">
        <f>'2. P1 Budget'!E58</f>
        <v>13300</v>
      </c>
      <c r="E5" s="10" t="s">
        <v>280</v>
      </c>
    </row>
    <row r="6" spans="1:5" ht="26" x14ac:dyDescent="0.2">
      <c r="A6" s="2" t="s">
        <v>281</v>
      </c>
      <c r="B6" s="22">
        <f>'2. P1 Budget'!C57</f>
        <v>5430</v>
      </c>
      <c r="C6" s="22">
        <f>'2. P1 Budget'!D57</f>
        <v>7570</v>
      </c>
      <c r="D6" s="22">
        <f>'2. P1 Budget'!E57</f>
        <v>10440</v>
      </c>
      <c r="E6" s="10" t="s">
        <v>282</v>
      </c>
    </row>
    <row r="7" spans="1:5" x14ac:dyDescent="0.2">
      <c r="A7" s="2" t="s">
        <v>283</v>
      </c>
      <c r="B7" s="22">
        <f>'5. P2 Capex'!C21</f>
        <v>4800</v>
      </c>
      <c r="C7" s="22">
        <f>'5. P2 Capex'!D21</f>
        <v>7500</v>
      </c>
      <c r="D7" s="22">
        <f>'5. P2 Capex'!E21</f>
        <v>12550</v>
      </c>
      <c r="E7" s="10" t="s">
        <v>284</v>
      </c>
    </row>
    <row r="8" spans="1:5" x14ac:dyDescent="0.2">
      <c r="A8" s="4"/>
      <c r="E8" s="10"/>
    </row>
    <row r="9" spans="1:5" x14ac:dyDescent="0.2">
      <c r="A9" s="14" t="s">
        <v>285</v>
      </c>
      <c r="B9" s="15">
        <f>B5+B6+B7</f>
        <v>16000</v>
      </c>
      <c r="C9" s="15">
        <f>C5+C6+C7</f>
        <v>24561</v>
      </c>
      <c r="D9" s="15">
        <f>D5+D6+D7</f>
        <v>36290</v>
      </c>
      <c r="E9" s="10" t="s">
        <v>286</v>
      </c>
    </row>
    <row r="10" spans="1:5" x14ac:dyDescent="0.2">
      <c r="A10" s="4" t="s">
        <v>287</v>
      </c>
      <c r="B10" s="22">
        <f>-'3. P1 Revenue'!C16</f>
        <v>-1200</v>
      </c>
      <c r="C10" s="22">
        <f>-'3. P1 Revenue'!D16</f>
        <v>-2300</v>
      </c>
      <c r="D10" s="22">
        <f>-'3. P1 Revenue'!E16</f>
        <v>-4510</v>
      </c>
      <c r="E10" s="10" t="s">
        <v>288</v>
      </c>
    </row>
    <row r="11" spans="1:5" x14ac:dyDescent="0.2">
      <c r="A11" s="14" t="s">
        <v>289</v>
      </c>
      <c r="B11" s="15">
        <f>B9+B10</f>
        <v>14800</v>
      </c>
      <c r="C11" s="15">
        <f>C9+C10</f>
        <v>22261</v>
      </c>
      <c r="D11" s="15">
        <f>D9+D10</f>
        <v>31780</v>
      </c>
      <c r="E11" s="10" t="s">
        <v>290</v>
      </c>
    </row>
    <row r="12" spans="1:5" x14ac:dyDescent="0.2">
      <c r="A12" s="4"/>
      <c r="E12" s="10"/>
    </row>
    <row r="13" spans="1:5" x14ac:dyDescent="0.2">
      <c r="A13" s="2" t="s">
        <v>291</v>
      </c>
      <c r="B13" s="8">
        <v>15000</v>
      </c>
      <c r="C13" s="8">
        <v>15000</v>
      </c>
      <c r="D13" s="8">
        <v>15000</v>
      </c>
      <c r="E13" s="10" t="s">
        <v>292</v>
      </c>
    </row>
    <row r="14" spans="1:5" x14ac:dyDescent="0.2">
      <c r="A14" s="2" t="s">
        <v>293</v>
      </c>
      <c r="B14" s="11">
        <f>B12-B11</f>
        <v>-14800</v>
      </c>
      <c r="C14" s="11">
        <f>C12-C11</f>
        <v>-22261</v>
      </c>
      <c r="D14" s="11">
        <f>D12-D11</f>
        <v>-31780</v>
      </c>
      <c r="E14" s="10" t="s">
        <v>294</v>
      </c>
    </row>
    <row r="15" spans="1:5" x14ac:dyDescent="0.2">
      <c r="A15" s="2" t="s">
        <v>295</v>
      </c>
      <c r="B15" s="27" t="e">
        <f>B11/B12</f>
        <v>#DIV/0!</v>
      </c>
      <c r="C15" s="27" t="e">
        <f>C11/C12</f>
        <v>#DIV/0!</v>
      </c>
      <c r="D15" s="27" t="e">
        <f>D11/D12</f>
        <v>#DIV/0!</v>
      </c>
      <c r="E15" s="10" t="s">
        <v>296</v>
      </c>
    </row>
    <row r="17" spans="1:5" x14ac:dyDescent="0.2">
      <c r="A17" s="61" t="s">
        <v>297</v>
      </c>
      <c r="B17" s="56"/>
      <c r="C17" s="56"/>
      <c r="D17" s="56"/>
      <c r="E17" s="56"/>
    </row>
    <row r="18" spans="1:5" x14ac:dyDescent="0.2">
      <c r="A18" s="2" t="s">
        <v>298</v>
      </c>
      <c r="B18" s="63" t="str">
        <f>IF(C14&gt;=0,"OK — within budget",IF(C14&gt;=-2000,"TIGHT — trim or top-up",IF(C14&gt;=-5000,"SHORTFALL — need ~RM 2–5K more capital","SEVERE SHORTFALL — re-evaluate scope")))</f>
        <v>SEVERE SHORTFALL — re-evaluate scope</v>
      </c>
      <c r="C18" s="56"/>
      <c r="D18" s="56"/>
      <c r="E18" s="56"/>
    </row>
    <row r="20" spans="1:5" x14ac:dyDescent="0.2">
      <c r="A20" s="61" t="s">
        <v>299</v>
      </c>
      <c r="B20" s="56"/>
      <c r="C20" s="56"/>
      <c r="D20" s="56"/>
      <c r="E20" s="56"/>
    </row>
    <row r="21" spans="1:5" x14ac:dyDescent="0.2">
      <c r="A21" s="7" t="s">
        <v>300</v>
      </c>
      <c r="B21" s="7" t="s">
        <v>301</v>
      </c>
      <c r="C21" s="7" t="s">
        <v>302</v>
      </c>
    </row>
    <row r="22" spans="1:5" x14ac:dyDescent="0.2">
      <c r="A22" s="4" t="s">
        <v>303</v>
      </c>
      <c r="B22" s="2" t="s">
        <v>304</v>
      </c>
      <c r="C22" s="64" t="s">
        <v>305</v>
      </c>
      <c r="D22" s="56"/>
      <c r="E22" s="56"/>
    </row>
    <row r="23" spans="1:5" x14ac:dyDescent="0.2">
      <c r="A23" s="4" t="s">
        <v>306</v>
      </c>
      <c r="B23" s="2" t="s">
        <v>307</v>
      </c>
      <c r="C23" s="64" t="s">
        <v>308</v>
      </c>
      <c r="D23" s="56"/>
      <c r="E23" s="56"/>
    </row>
    <row r="24" spans="1:5" x14ac:dyDescent="0.2">
      <c r="A24" s="4" t="s">
        <v>309</v>
      </c>
      <c r="B24" s="2" t="s">
        <v>310</v>
      </c>
      <c r="C24" s="64" t="s">
        <v>311</v>
      </c>
      <c r="D24" s="56"/>
      <c r="E24" s="56"/>
    </row>
    <row r="25" spans="1:5" x14ac:dyDescent="0.2">
      <c r="A25" s="4" t="s">
        <v>312</v>
      </c>
      <c r="B25" s="2" t="s">
        <v>313</v>
      </c>
      <c r="C25" s="64" t="s">
        <v>314</v>
      </c>
      <c r="D25" s="56"/>
      <c r="E25" s="56"/>
    </row>
    <row r="26" spans="1:5" x14ac:dyDescent="0.2">
      <c r="A26" s="4" t="s">
        <v>315</v>
      </c>
      <c r="B26" s="2" t="s">
        <v>316</v>
      </c>
      <c r="C26" s="64" t="s">
        <v>317</v>
      </c>
      <c r="D26" s="56"/>
      <c r="E26" s="56"/>
    </row>
    <row r="27" spans="1:5" x14ac:dyDescent="0.2">
      <c r="A27" s="4" t="s">
        <v>318</v>
      </c>
      <c r="B27" s="2" t="s">
        <v>319</v>
      </c>
      <c r="C27" s="64" t="s">
        <v>320</v>
      </c>
      <c r="D27" s="56"/>
      <c r="E27" s="56"/>
    </row>
    <row r="28" spans="1:5" x14ac:dyDescent="0.2">
      <c r="A28" s="4" t="s">
        <v>321</v>
      </c>
      <c r="B28" s="2" t="s">
        <v>322</v>
      </c>
      <c r="C28" s="64" t="s">
        <v>323</v>
      </c>
      <c r="D28" s="56"/>
      <c r="E28" s="56"/>
    </row>
    <row r="29" spans="1:5" x14ac:dyDescent="0.2">
      <c r="A29" s="4" t="s">
        <v>324</v>
      </c>
      <c r="B29" s="2" t="s">
        <v>325</v>
      </c>
      <c r="C29" s="64" t="s">
        <v>326</v>
      </c>
      <c r="D29" s="56"/>
      <c r="E29" s="56"/>
    </row>
  </sheetData>
  <mergeCells count="13">
    <mergeCell ref="A1:E1"/>
    <mergeCell ref="C26:E26"/>
    <mergeCell ref="C29:E29"/>
    <mergeCell ref="A17:E17"/>
    <mergeCell ref="C25:E25"/>
    <mergeCell ref="C24:E24"/>
    <mergeCell ref="B18:E18"/>
    <mergeCell ref="C28:E28"/>
    <mergeCell ref="A20:E20"/>
    <mergeCell ref="C27:E27"/>
    <mergeCell ref="A2:E2"/>
    <mergeCell ref="C23:E23"/>
    <mergeCell ref="C22:E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1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38" customWidth="1"/>
    <col min="3" max="3" width="10" customWidth="1"/>
    <col min="4" max="5" width="14" customWidth="1"/>
    <col min="6" max="7" width="12" customWidth="1"/>
    <col min="8" max="8" width="30" customWidth="1"/>
  </cols>
  <sheetData>
    <row r="1" spans="1:8" x14ac:dyDescent="0.2">
      <c r="A1" s="59" t="s">
        <v>327</v>
      </c>
      <c r="B1" s="60"/>
      <c r="C1" s="60"/>
      <c r="D1" s="60"/>
      <c r="E1" s="60"/>
      <c r="F1" s="60"/>
      <c r="G1" s="60"/>
      <c r="H1" s="60"/>
    </row>
    <row r="2" spans="1:8" x14ac:dyDescent="0.2">
      <c r="A2" s="57" t="s">
        <v>328</v>
      </c>
      <c r="B2" s="56"/>
      <c r="C2" s="56"/>
      <c r="D2" s="56"/>
      <c r="E2" s="56"/>
      <c r="F2" s="56"/>
      <c r="G2" s="56"/>
      <c r="H2" s="56"/>
    </row>
    <row r="4" spans="1:8" x14ac:dyDescent="0.2">
      <c r="A4" s="7" t="s">
        <v>40</v>
      </c>
      <c r="B4" s="7" t="s">
        <v>329</v>
      </c>
      <c r="C4" s="7" t="s">
        <v>330</v>
      </c>
      <c r="D4" s="7" t="s">
        <v>331</v>
      </c>
      <c r="E4" s="7" t="s">
        <v>332</v>
      </c>
      <c r="F4" s="7" t="s">
        <v>333</v>
      </c>
      <c r="G4" s="7" t="s">
        <v>334</v>
      </c>
      <c r="H4" s="7" t="s">
        <v>46</v>
      </c>
    </row>
    <row r="5" spans="1:8" x14ac:dyDescent="0.2">
      <c r="A5" s="4" t="s">
        <v>335</v>
      </c>
      <c r="B5" s="28" t="s">
        <v>336</v>
      </c>
      <c r="C5" s="29">
        <v>0.15</v>
      </c>
      <c r="D5" s="30">
        <v>200</v>
      </c>
      <c r="E5" s="31" t="s">
        <v>337</v>
      </c>
      <c r="F5" s="32">
        <v>200</v>
      </c>
      <c r="G5" s="29">
        <f>IFERROR(MIN(F5/D5,1),0)</f>
        <v>1</v>
      </c>
      <c r="H5" s="10" t="s">
        <v>338</v>
      </c>
    </row>
    <row r="6" spans="1:8" ht="28" x14ac:dyDescent="0.2">
      <c r="A6" s="4" t="s">
        <v>339</v>
      </c>
      <c r="B6" s="28" t="s">
        <v>340</v>
      </c>
      <c r="C6" s="29">
        <v>0.15</v>
      </c>
      <c r="D6" s="29">
        <v>0.08</v>
      </c>
      <c r="E6" s="31" t="s">
        <v>341</v>
      </c>
      <c r="F6" s="33">
        <v>0.08</v>
      </c>
      <c r="G6" s="29">
        <f>IFERROR(MIN(F6/D6,1),0)</f>
        <v>1</v>
      </c>
      <c r="H6" s="10" t="s">
        <v>342</v>
      </c>
    </row>
    <row r="7" spans="1:8" x14ac:dyDescent="0.2">
      <c r="A7" s="4" t="s">
        <v>343</v>
      </c>
      <c r="B7" s="28" t="s">
        <v>344</v>
      </c>
      <c r="C7" s="29">
        <v>0.1</v>
      </c>
      <c r="D7" s="30">
        <v>12</v>
      </c>
      <c r="E7" s="31" t="s">
        <v>337</v>
      </c>
      <c r="F7" s="32">
        <v>12</v>
      </c>
      <c r="G7" s="29">
        <f>IFERROR(MIN(F7/D7,1),0)</f>
        <v>1</v>
      </c>
      <c r="H7" s="10" t="s">
        <v>345</v>
      </c>
    </row>
    <row r="8" spans="1:8" x14ac:dyDescent="0.2">
      <c r="A8" s="4" t="s">
        <v>346</v>
      </c>
      <c r="B8" s="28" t="s">
        <v>347</v>
      </c>
      <c r="C8" s="29">
        <v>0.08</v>
      </c>
      <c r="D8" s="34">
        <v>13</v>
      </c>
      <c r="E8" s="31" t="s">
        <v>348</v>
      </c>
      <c r="F8" s="35">
        <v>13</v>
      </c>
      <c r="G8" s="29">
        <f>IFERROR(MIN(F8/D8,1),0)</f>
        <v>1</v>
      </c>
      <c r="H8" s="10" t="s">
        <v>349</v>
      </c>
    </row>
    <row r="9" spans="1:8" x14ac:dyDescent="0.2">
      <c r="A9" s="4" t="s">
        <v>350</v>
      </c>
      <c r="B9" s="28" t="s">
        <v>351</v>
      </c>
      <c r="C9" s="29">
        <v>0.12</v>
      </c>
      <c r="D9" s="29">
        <v>0.75</v>
      </c>
      <c r="E9" s="31" t="s">
        <v>341</v>
      </c>
      <c r="F9" s="33">
        <v>0.75</v>
      </c>
      <c r="G9" s="29">
        <f>IFERROR(MIN(F9/D9,1),0)</f>
        <v>1</v>
      </c>
      <c r="H9" s="10" t="s">
        <v>352</v>
      </c>
    </row>
    <row r="10" spans="1:8" x14ac:dyDescent="0.2">
      <c r="A10" s="4" t="s">
        <v>353</v>
      </c>
      <c r="B10" s="28" t="s">
        <v>354</v>
      </c>
      <c r="C10" s="29">
        <v>0.08</v>
      </c>
      <c r="D10" s="30">
        <v>0</v>
      </c>
      <c r="E10" s="31" t="s">
        <v>355</v>
      </c>
      <c r="F10" s="32">
        <v>0</v>
      </c>
      <c r="G10" s="29">
        <f>IF(F10=0,1,MAX(0,1-F10*0.5))</f>
        <v>1</v>
      </c>
      <c r="H10" s="10" t="s">
        <v>356</v>
      </c>
    </row>
    <row r="11" spans="1:8" x14ac:dyDescent="0.2">
      <c r="A11" s="4" t="s">
        <v>357</v>
      </c>
      <c r="B11" s="28" t="s">
        <v>358</v>
      </c>
      <c r="C11" s="29">
        <v>0.12</v>
      </c>
      <c r="D11" s="30">
        <v>7</v>
      </c>
      <c r="E11" s="31" t="s">
        <v>337</v>
      </c>
      <c r="F11" s="32">
        <v>7</v>
      </c>
      <c r="G11" s="29">
        <f>IFERROR(MIN(F11/D11,1),0)</f>
        <v>1</v>
      </c>
      <c r="H11" s="10" t="s">
        <v>359</v>
      </c>
    </row>
    <row r="12" spans="1:8" ht="28" x14ac:dyDescent="0.2">
      <c r="A12" s="4" t="s">
        <v>360</v>
      </c>
      <c r="B12" s="28" t="s">
        <v>361</v>
      </c>
      <c r="C12" s="29">
        <v>0.1</v>
      </c>
      <c r="D12" s="30">
        <v>1</v>
      </c>
      <c r="E12" s="31" t="s">
        <v>362</v>
      </c>
      <c r="F12" s="32">
        <v>1</v>
      </c>
      <c r="G12" s="29">
        <f>IF(F12&gt;=D12,1,0)</f>
        <v>1</v>
      </c>
      <c r="H12" s="10" t="s">
        <v>363</v>
      </c>
    </row>
    <row r="13" spans="1:8" ht="28" x14ac:dyDescent="0.2">
      <c r="A13" s="4" t="s">
        <v>364</v>
      </c>
      <c r="B13" s="28" t="s">
        <v>365</v>
      </c>
      <c r="C13" s="29">
        <v>0.05</v>
      </c>
      <c r="D13" s="30">
        <v>1</v>
      </c>
      <c r="E13" s="31" t="s">
        <v>362</v>
      </c>
      <c r="F13" s="32">
        <v>1</v>
      </c>
      <c r="G13" s="29">
        <f>IF(F13&gt;=D13,1,0)</f>
        <v>1</v>
      </c>
      <c r="H13" s="10" t="s">
        <v>366</v>
      </c>
    </row>
    <row r="14" spans="1:8" x14ac:dyDescent="0.2">
      <c r="A14" s="4" t="s">
        <v>367</v>
      </c>
      <c r="B14" s="28" t="s">
        <v>368</v>
      </c>
      <c r="C14" s="29">
        <v>0.05</v>
      </c>
      <c r="D14" s="29">
        <v>0.3</v>
      </c>
      <c r="E14" s="31" t="s">
        <v>341</v>
      </c>
      <c r="F14" s="33">
        <v>0.3</v>
      </c>
      <c r="G14" s="29">
        <f>IFERROR(MIN(F14/D14,1),0)</f>
        <v>1</v>
      </c>
      <c r="H14" s="10" t="s">
        <v>369</v>
      </c>
    </row>
    <row r="15" spans="1:8" x14ac:dyDescent="0.2">
      <c r="B15" s="1" t="s">
        <v>370</v>
      </c>
      <c r="C15" s="36">
        <f>SUM(C5:C14)</f>
        <v>1</v>
      </c>
    </row>
    <row r="17" spans="2:8" x14ac:dyDescent="0.2">
      <c r="B17" s="14" t="s">
        <v>371</v>
      </c>
      <c r="G17" s="37">
        <f>SUMPRODUCT(C5:C14,G5:G14)</f>
        <v>1</v>
      </c>
    </row>
    <row r="19" spans="2:8" ht="18" x14ac:dyDescent="0.2">
      <c r="B19" s="38" t="s">
        <v>372</v>
      </c>
      <c r="C19" s="67" t="str">
        <f>IF(G17&gt;=0.85,"GO — proceed to Phase 2 with confidence",IF(G17&gt;=0.7,"GO with cautions — address weakest criteria first",IF(G17&gt;=0.55,"HOLD — re-test 2 weeks with adjusted variables","NO-GO — consider pivot to online-only / extended validation")))</f>
        <v>GO — proceed to Phase 2 with confidence</v>
      </c>
      <c r="D19" s="56"/>
      <c r="E19" s="56"/>
      <c r="F19" s="56"/>
      <c r="G19" s="56"/>
      <c r="H19" s="56"/>
    </row>
    <row r="22" spans="2:8" x14ac:dyDescent="0.2">
      <c r="B22" s="61" t="s">
        <v>373</v>
      </c>
      <c r="C22" s="56"/>
      <c r="D22" s="56"/>
      <c r="E22" s="56"/>
      <c r="F22" s="56"/>
      <c r="G22" s="56"/>
      <c r="H22" s="56"/>
    </row>
    <row r="23" spans="2:8" x14ac:dyDescent="0.2">
      <c r="B23" s="39" t="s">
        <v>374</v>
      </c>
      <c r="C23" s="66" t="s">
        <v>375</v>
      </c>
      <c r="D23" s="56"/>
      <c r="E23" s="56"/>
      <c r="F23" s="56"/>
      <c r="G23" s="56"/>
      <c r="H23" s="56"/>
    </row>
    <row r="24" spans="2:8" x14ac:dyDescent="0.2">
      <c r="B24" s="39" t="s">
        <v>376</v>
      </c>
      <c r="C24" s="66" t="s">
        <v>377</v>
      </c>
      <c r="D24" s="56"/>
      <c r="E24" s="56"/>
      <c r="F24" s="56"/>
      <c r="G24" s="56"/>
      <c r="H24" s="56"/>
    </row>
    <row r="25" spans="2:8" x14ac:dyDescent="0.2">
      <c r="B25" s="41" t="s">
        <v>378</v>
      </c>
      <c r="C25" s="65" t="s">
        <v>379</v>
      </c>
      <c r="D25" s="56"/>
      <c r="E25" s="56"/>
      <c r="F25" s="56"/>
      <c r="G25" s="56"/>
      <c r="H25" s="56"/>
    </row>
    <row r="26" spans="2:8" x14ac:dyDescent="0.2">
      <c r="B26" s="43" t="s">
        <v>380</v>
      </c>
      <c r="C26" s="68" t="s">
        <v>381</v>
      </c>
      <c r="D26" s="56"/>
      <c r="E26" s="56"/>
      <c r="F26" s="56"/>
      <c r="G26" s="56"/>
      <c r="H26" s="56"/>
    </row>
    <row r="28" spans="2:8" x14ac:dyDescent="0.2">
      <c r="B28" s="61" t="s">
        <v>382</v>
      </c>
      <c r="C28" s="56"/>
      <c r="D28" s="56"/>
      <c r="E28" s="56"/>
      <c r="F28" s="56"/>
      <c r="G28" s="56"/>
      <c r="H28" s="56"/>
    </row>
    <row r="29" spans="2:8" x14ac:dyDescent="0.2">
      <c r="B29" s="2" t="s">
        <v>383</v>
      </c>
      <c r="C29" s="45">
        <f>MIN(G5:G14)</f>
        <v>1</v>
      </c>
      <c r="D29" s="2" t="s">
        <v>384</v>
      </c>
      <c r="F29" s="46">
        <f>COUNTIF(G5:G14,"&lt;0.5")</f>
        <v>0</v>
      </c>
    </row>
    <row r="31" spans="2:8" x14ac:dyDescent="0.2">
      <c r="B31" s="57" t="s">
        <v>385</v>
      </c>
      <c r="C31" s="56"/>
      <c r="D31" s="56"/>
      <c r="E31" s="56"/>
      <c r="F31" s="56"/>
      <c r="G31" s="56"/>
      <c r="H31" s="56"/>
    </row>
  </sheetData>
  <mergeCells count="10">
    <mergeCell ref="A2:H2"/>
    <mergeCell ref="C23:H23"/>
    <mergeCell ref="B31:H31"/>
    <mergeCell ref="A1:H1"/>
    <mergeCell ref="B28:H28"/>
    <mergeCell ref="B22:H22"/>
    <mergeCell ref="C25:H25"/>
    <mergeCell ref="C24:H24"/>
    <mergeCell ref="C19:H19"/>
    <mergeCell ref="C26:H26"/>
  </mergeCells>
  <conditionalFormatting sqref="C19">
    <cfRule type="expression" dxfId="13" priority="1">
      <formula>ISNUMBER(SEARCH("GO — proceed",C19))</formula>
    </cfRule>
    <cfRule type="expression" dxfId="12" priority="2">
      <formula>ISNUMBER(SEARCH("GO with cautions",C19))</formula>
    </cfRule>
    <cfRule type="expression" dxfId="11" priority="3">
      <formula>ISNUMBER(SEARCH("HOLD",C19))</formula>
    </cfRule>
    <cfRule type="expression" dxfId="10" priority="4">
      <formula>ISNUMBER(SEARCH("NO-GO",C19))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6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42" customWidth="1"/>
    <col min="3" max="3" width="12" customWidth="1"/>
    <col min="4" max="5" width="10" customWidth="1"/>
    <col min="6" max="6" width="50" customWidth="1"/>
    <col min="7" max="7" width="12" customWidth="1"/>
    <col min="8" max="8" width="14" customWidth="1"/>
  </cols>
  <sheetData>
    <row r="1" spans="1:8" x14ac:dyDescent="0.2">
      <c r="A1" s="59" t="s">
        <v>386</v>
      </c>
      <c r="B1" s="60"/>
      <c r="C1" s="60"/>
      <c r="D1" s="60"/>
      <c r="E1" s="60"/>
      <c r="F1" s="60"/>
      <c r="G1" s="60"/>
      <c r="H1" s="60"/>
    </row>
    <row r="2" spans="1:8" x14ac:dyDescent="0.2">
      <c r="A2" s="57" t="s">
        <v>387</v>
      </c>
      <c r="B2" s="56"/>
      <c r="C2" s="56"/>
      <c r="D2" s="56"/>
      <c r="E2" s="56"/>
      <c r="F2" s="56"/>
      <c r="G2" s="56"/>
      <c r="H2" s="56"/>
    </row>
    <row r="4" spans="1:8" ht="28" x14ac:dyDescent="0.2">
      <c r="A4" s="7" t="s">
        <v>40</v>
      </c>
      <c r="B4" s="7" t="s">
        <v>388</v>
      </c>
      <c r="C4" s="7" t="s">
        <v>389</v>
      </c>
      <c r="D4" s="7" t="s">
        <v>390</v>
      </c>
      <c r="E4" s="7" t="s">
        <v>334</v>
      </c>
      <c r="F4" s="7" t="s">
        <v>391</v>
      </c>
      <c r="G4" s="7" t="s">
        <v>392</v>
      </c>
      <c r="H4" s="7" t="s">
        <v>393</v>
      </c>
    </row>
    <row r="5" spans="1:8" ht="26" x14ac:dyDescent="0.2">
      <c r="A5" s="4" t="s">
        <v>394</v>
      </c>
      <c r="B5" s="3" t="s">
        <v>395</v>
      </c>
      <c r="C5" s="47">
        <v>3</v>
      </c>
      <c r="D5" s="47">
        <v>4</v>
      </c>
      <c r="E5" s="48">
        <f t="shared" ref="E5:E27" si="0">C5*D5</f>
        <v>12</v>
      </c>
      <c r="F5" s="10" t="s">
        <v>396</v>
      </c>
      <c r="G5" s="9" t="s">
        <v>397</v>
      </c>
      <c r="H5" s="9" t="s">
        <v>398</v>
      </c>
    </row>
    <row r="6" spans="1:8" ht="26" x14ac:dyDescent="0.2">
      <c r="A6" s="4" t="s">
        <v>399</v>
      </c>
      <c r="B6" s="3" t="s">
        <v>400</v>
      </c>
      <c r="C6" s="47">
        <v>2</v>
      </c>
      <c r="D6" s="47">
        <v>4</v>
      </c>
      <c r="E6" s="48">
        <f t="shared" si="0"/>
        <v>8</v>
      </c>
      <c r="F6" s="10" t="s">
        <v>401</v>
      </c>
      <c r="G6" s="9" t="s">
        <v>397</v>
      </c>
      <c r="H6" s="9" t="s">
        <v>398</v>
      </c>
    </row>
    <row r="7" spans="1:8" ht="26" x14ac:dyDescent="0.2">
      <c r="A7" s="4" t="s">
        <v>402</v>
      </c>
      <c r="B7" s="3" t="s">
        <v>403</v>
      </c>
      <c r="C7" s="47">
        <v>2</v>
      </c>
      <c r="D7" s="47">
        <v>5</v>
      </c>
      <c r="E7" s="48">
        <f t="shared" si="0"/>
        <v>10</v>
      </c>
      <c r="F7" s="10" t="s">
        <v>404</v>
      </c>
      <c r="G7" s="9" t="s">
        <v>405</v>
      </c>
      <c r="H7" s="9" t="s">
        <v>398</v>
      </c>
    </row>
    <row r="8" spans="1:8" ht="28" x14ac:dyDescent="0.2">
      <c r="A8" s="4" t="s">
        <v>406</v>
      </c>
      <c r="B8" s="3" t="s">
        <v>407</v>
      </c>
      <c r="C8" s="47">
        <v>3</v>
      </c>
      <c r="D8" s="47">
        <v>4</v>
      </c>
      <c r="E8" s="48">
        <f t="shared" si="0"/>
        <v>12</v>
      </c>
      <c r="F8" s="10" t="s">
        <v>408</v>
      </c>
      <c r="G8" s="9" t="s">
        <v>397</v>
      </c>
      <c r="H8" s="9" t="s">
        <v>398</v>
      </c>
    </row>
    <row r="9" spans="1:8" x14ac:dyDescent="0.2">
      <c r="A9" s="4" t="s">
        <v>409</v>
      </c>
      <c r="B9" s="3" t="s">
        <v>410</v>
      </c>
      <c r="C9" s="47">
        <v>3</v>
      </c>
      <c r="D9" s="47">
        <v>3</v>
      </c>
      <c r="E9" s="48">
        <f t="shared" si="0"/>
        <v>9</v>
      </c>
      <c r="F9" s="10" t="s">
        <v>411</v>
      </c>
      <c r="G9" s="9" t="s">
        <v>412</v>
      </c>
      <c r="H9" s="9" t="s">
        <v>398</v>
      </c>
    </row>
    <row r="10" spans="1:8" ht="28" x14ac:dyDescent="0.2">
      <c r="A10" s="4" t="s">
        <v>413</v>
      </c>
      <c r="B10" s="3" t="s">
        <v>414</v>
      </c>
      <c r="C10" s="47">
        <v>3</v>
      </c>
      <c r="D10" s="47">
        <v>4</v>
      </c>
      <c r="E10" s="48">
        <f t="shared" si="0"/>
        <v>12</v>
      </c>
      <c r="F10" s="10" t="s">
        <v>415</v>
      </c>
      <c r="G10" s="9" t="s">
        <v>412</v>
      </c>
      <c r="H10" s="9" t="s">
        <v>398</v>
      </c>
    </row>
    <row r="11" spans="1:8" ht="26" x14ac:dyDescent="0.2">
      <c r="A11" s="4" t="s">
        <v>416</v>
      </c>
      <c r="B11" s="3" t="s">
        <v>417</v>
      </c>
      <c r="C11" s="47">
        <v>2</v>
      </c>
      <c r="D11" s="47">
        <v>4</v>
      </c>
      <c r="E11" s="48">
        <f t="shared" si="0"/>
        <v>8</v>
      </c>
      <c r="F11" s="10" t="s">
        <v>418</v>
      </c>
      <c r="G11" s="9" t="s">
        <v>397</v>
      </c>
      <c r="H11" s="9" t="s">
        <v>398</v>
      </c>
    </row>
    <row r="12" spans="1:8" x14ac:dyDescent="0.2">
      <c r="A12" s="4" t="s">
        <v>419</v>
      </c>
      <c r="B12" s="3" t="s">
        <v>420</v>
      </c>
      <c r="C12" s="47">
        <v>4</v>
      </c>
      <c r="D12" s="47">
        <v>3</v>
      </c>
      <c r="E12" s="48">
        <f t="shared" si="0"/>
        <v>12</v>
      </c>
      <c r="F12" s="10" t="s">
        <v>421</v>
      </c>
      <c r="G12" s="9" t="s">
        <v>412</v>
      </c>
      <c r="H12" s="9" t="s">
        <v>398</v>
      </c>
    </row>
    <row r="13" spans="1:8" ht="26" x14ac:dyDescent="0.2">
      <c r="A13" s="4" t="s">
        <v>422</v>
      </c>
      <c r="B13" s="3" t="s">
        <v>423</v>
      </c>
      <c r="C13" s="47">
        <v>3</v>
      </c>
      <c r="D13" s="47">
        <v>4</v>
      </c>
      <c r="E13" s="48">
        <f t="shared" si="0"/>
        <v>12</v>
      </c>
      <c r="F13" s="10" t="s">
        <v>424</v>
      </c>
      <c r="G13" s="9" t="s">
        <v>412</v>
      </c>
      <c r="H13" s="9" t="s">
        <v>398</v>
      </c>
    </row>
    <row r="14" spans="1:8" ht="26" x14ac:dyDescent="0.2">
      <c r="A14" s="4" t="s">
        <v>425</v>
      </c>
      <c r="B14" s="3" t="s">
        <v>426</v>
      </c>
      <c r="C14" s="47">
        <v>2</v>
      </c>
      <c r="D14" s="47">
        <v>3</v>
      </c>
      <c r="E14" s="48">
        <f t="shared" si="0"/>
        <v>6</v>
      </c>
      <c r="F14" s="10" t="s">
        <v>427</v>
      </c>
      <c r="G14" s="9" t="s">
        <v>405</v>
      </c>
      <c r="H14" s="9" t="s">
        <v>398</v>
      </c>
    </row>
    <row r="15" spans="1:8" ht="26" x14ac:dyDescent="0.2">
      <c r="A15" s="4" t="s">
        <v>428</v>
      </c>
      <c r="B15" s="3" t="s">
        <v>429</v>
      </c>
      <c r="C15" s="47">
        <v>4</v>
      </c>
      <c r="D15" s="47">
        <v>3</v>
      </c>
      <c r="E15" s="48">
        <f t="shared" si="0"/>
        <v>12</v>
      </c>
      <c r="F15" s="10" t="s">
        <v>430</v>
      </c>
      <c r="G15" s="9" t="s">
        <v>412</v>
      </c>
      <c r="H15" s="9" t="s">
        <v>398</v>
      </c>
    </row>
    <row r="16" spans="1:8" ht="28" x14ac:dyDescent="0.2">
      <c r="A16" s="4" t="s">
        <v>431</v>
      </c>
      <c r="B16" s="3" t="s">
        <v>432</v>
      </c>
      <c r="C16" s="47">
        <v>2</v>
      </c>
      <c r="D16" s="47">
        <v>3</v>
      </c>
      <c r="E16" s="48">
        <f t="shared" si="0"/>
        <v>6</v>
      </c>
      <c r="F16" s="10" t="s">
        <v>433</v>
      </c>
      <c r="G16" s="9" t="s">
        <v>397</v>
      </c>
      <c r="H16" s="9" t="s">
        <v>398</v>
      </c>
    </row>
    <row r="17" spans="1:8" x14ac:dyDescent="0.2">
      <c r="A17" s="4" t="s">
        <v>434</v>
      </c>
      <c r="B17" s="3" t="s">
        <v>435</v>
      </c>
      <c r="C17" s="47">
        <v>2</v>
      </c>
      <c r="D17" s="47">
        <v>2</v>
      </c>
      <c r="E17" s="48">
        <f t="shared" si="0"/>
        <v>4</v>
      </c>
      <c r="F17" s="10" t="s">
        <v>436</v>
      </c>
      <c r="G17" s="9" t="s">
        <v>397</v>
      </c>
      <c r="H17" s="9" t="s">
        <v>398</v>
      </c>
    </row>
    <row r="18" spans="1:8" x14ac:dyDescent="0.2">
      <c r="A18" s="4" t="s">
        <v>437</v>
      </c>
      <c r="B18" s="3" t="s">
        <v>438</v>
      </c>
      <c r="C18" s="47">
        <v>1</v>
      </c>
      <c r="D18" s="47">
        <v>3</v>
      </c>
      <c r="E18" s="48">
        <f t="shared" si="0"/>
        <v>3</v>
      </c>
      <c r="F18" s="10" t="s">
        <v>439</v>
      </c>
      <c r="G18" s="9" t="s">
        <v>397</v>
      </c>
      <c r="H18" s="9" t="s">
        <v>398</v>
      </c>
    </row>
    <row r="19" spans="1:8" ht="28" x14ac:dyDescent="0.2">
      <c r="A19" s="4" t="s">
        <v>440</v>
      </c>
      <c r="B19" s="3" t="s">
        <v>441</v>
      </c>
      <c r="C19" s="47">
        <v>4</v>
      </c>
      <c r="D19" s="47">
        <v>4</v>
      </c>
      <c r="E19" s="48">
        <f t="shared" si="0"/>
        <v>16</v>
      </c>
      <c r="F19" s="10" t="s">
        <v>442</v>
      </c>
      <c r="G19" s="9" t="s">
        <v>405</v>
      </c>
      <c r="H19" s="9" t="s">
        <v>398</v>
      </c>
    </row>
    <row r="20" spans="1:8" ht="26" x14ac:dyDescent="0.2">
      <c r="A20" s="4" t="s">
        <v>443</v>
      </c>
      <c r="B20" s="3" t="s">
        <v>444</v>
      </c>
      <c r="C20" s="47">
        <v>3</v>
      </c>
      <c r="D20" s="47">
        <v>3</v>
      </c>
      <c r="E20" s="48">
        <f t="shared" si="0"/>
        <v>9</v>
      </c>
      <c r="F20" s="10" t="s">
        <v>445</v>
      </c>
      <c r="G20" s="9" t="s">
        <v>405</v>
      </c>
      <c r="H20" s="9" t="s">
        <v>398</v>
      </c>
    </row>
    <row r="21" spans="1:8" x14ac:dyDescent="0.2">
      <c r="A21" s="4" t="s">
        <v>446</v>
      </c>
      <c r="B21" s="3" t="s">
        <v>447</v>
      </c>
      <c r="C21" s="47">
        <v>3</v>
      </c>
      <c r="D21" s="47">
        <v>4</v>
      </c>
      <c r="E21" s="48">
        <f t="shared" si="0"/>
        <v>12</v>
      </c>
      <c r="F21" s="10" t="s">
        <v>448</v>
      </c>
      <c r="G21" s="9" t="s">
        <v>405</v>
      </c>
      <c r="H21" s="9" t="s">
        <v>398</v>
      </c>
    </row>
    <row r="22" spans="1:8" ht="26" x14ac:dyDescent="0.2">
      <c r="A22" s="4" t="s">
        <v>449</v>
      </c>
      <c r="B22" s="3" t="s">
        <v>450</v>
      </c>
      <c r="C22" s="47">
        <v>3</v>
      </c>
      <c r="D22" s="47">
        <v>3</v>
      </c>
      <c r="E22" s="48">
        <f t="shared" si="0"/>
        <v>9</v>
      </c>
      <c r="F22" s="10" t="s">
        <v>451</v>
      </c>
      <c r="G22" s="9" t="s">
        <v>405</v>
      </c>
      <c r="H22" s="9" t="s">
        <v>398</v>
      </c>
    </row>
    <row r="23" spans="1:8" ht="28" x14ac:dyDescent="0.2">
      <c r="A23" s="4" t="s">
        <v>452</v>
      </c>
      <c r="B23" s="3" t="s">
        <v>453</v>
      </c>
      <c r="C23" s="47">
        <v>2</v>
      </c>
      <c r="D23" s="47">
        <v>4</v>
      </c>
      <c r="E23" s="48">
        <f t="shared" si="0"/>
        <v>8</v>
      </c>
      <c r="F23" s="10" t="s">
        <v>454</v>
      </c>
      <c r="G23" s="9" t="s">
        <v>397</v>
      </c>
      <c r="H23" s="9" t="s">
        <v>398</v>
      </c>
    </row>
    <row r="24" spans="1:8" ht="28" x14ac:dyDescent="0.2">
      <c r="A24" s="4" t="s">
        <v>455</v>
      </c>
      <c r="B24" s="3" t="s">
        <v>456</v>
      </c>
      <c r="C24" s="47">
        <v>3</v>
      </c>
      <c r="D24" s="47">
        <v>4</v>
      </c>
      <c r="E24" s="48">
        <f t="shared" si="0"/>
        <v>12</v>
      </c>
      <c r="F24" s="10" t="s">
        <v>457</v>
      </c>
      <c r="G24" s="9" t="s">
        <v>397</v>
      </c>
      <c r="H24" s="9" t="s">
        <v>398</v>
      </c>
    </row>
    <row r="25" spans="1:8" x14ac:dyDescent="0.2">
      <c r="A25" s="4" t="s">
        <v>458</v>
      </c>
      <c r="B25" s="3" t="s">
        <v>459</v>
      </c>
      <c r="C25" s="47">
        <v>3</v>
      </c>
      <c r="D25" s="47">
        <v>2</v>
      </c>
      <c r="E25" s="48">
        <f t="shared" si="0"/>
        <v>6</v>
      </c>
      <c r="F25" s="10" t="s">
        <v>460</v>
      </c>
      <c r="G25" s="9" t="s">
        <v>405</v>
      </c>
      <c r="H25" s="9" t="s">
        <v>398</v>
      </c>
    </row>
    <row r="26" spans="1:8" ht="26" x14ac:dyDescent="0.2">
      <c r="A26" s="4" t="s">
        <v>461</v>
      </c>
      <c r="B26" s="3" t="s">
        <v>462</v>
      </c>
      <c r="C26" s="47">
        <v>3</v>
      </c>
      <c r="D26" s="47">
        <v>4</v>
      </c>
      <c r="E26" s="48">
        <f t="shared" si="0"/>
        <v>12</v>
      </c>
      <c r="F26" s="10" t="s">
        <v>463</v>
      </c>
      <c r="G26" s="9" t="s">
        <v>405</v>
      </c>
      <c r="H26" s="9" t="s">
        <v>398</v>
      </c>
    </row>
    <row r="27" spans="1:8" ht="28" x14ac:dyDescent="0.2">
      <c r="A27" s="4" t="s">
        <v>464</v>
      </c>
      <c r="B27" s="3" t="s">
        <v>465</v>
      </c>
      <c r="C27" s="47">
        <v>1</v>
      </c>
      <c r="D27" s="47">
        <v>5</v>
      </c>
      <c r="E27" s="48">
        <f t="shared" si="0"/>
        <v>5</v>
      </c>
      <c r="F27" s="10" t="s">
        <v>466</v>
      </c>
      <c r="G27" s="9" t="s">
        <v>405</v>
      </c>
      <c r="H27" s="9" t="s">
        <v>398</v>
      </c>
    </row>
    <row r="29" spans="1:8" x14ac:dyDescent="0.2">
      <c r="B29" s="61" t="s">
        <v>467</v>
      </c>
      <c r="C29" s="56"/>
      <c r="D29" s="56"/>
      <c r="E29" s="56"/>
      <c r="F29" s="56"/>
      <c r="G29" s="56"/>
      <c r="H29" s="56"/>
    </row>
    <row r="30" spans="1:8" x14ac:dyDescent="0.2">
      <c r="B30" s="2" t="s">
        <v>468</v>
      </c>
      <c r="C30" s="30">
        <f>COUNTA(A5:A27)</f>
        <v>23</v>
      </c>
    </row>
    <row r="31" spans="1:8" x14ac:dyDescent="0.2">
      <c r="B31" s="2" t="s">
        <v>469</v>
      </c>
      <c r="C31" s="30">
        <f>COUNTIF(E5:E27,"&gt;=15")</f>
        <v>1</v>
      </c>
    </row>
    <row r="32" spans="1:8" x14ac:dyDescent="0.2">
      <c r="B32" s="2" t="s">
        <v>470</v>
      </c>
      <c r="C32" s="30">
        <f>COUNTIFS(E5:E27,"&gt;=9",E5:E27,"&lt;=14")</f>
        <v>13</v>
      </c>
    </row>
    <row r="33" spans="2:3" x14ac:dyDescent="0.2">
      <c r="B33" s="2" t="s">
        <v>471</v>
      </c>
      <c r="C33" s="30">
        <f>COUNTIFS(E5:E27,"&gt;=4",E5:E27,"&lt;=8")</f>
        <v>8</v>
      </c>
    </row>
    <row r="34" spans="2:3" x14ac:dyDescent="0.2">
      <c r="B34" s="2" t="s">
        <v>472</v>
      </c>
      <c r="C34" s="30">
        <f>COUNTIF(E5:E27,"&lt;=3")</f>
        <v>1</v>
      </c>
    </row>
    <row r="35" spans="2:3" x14ac:dyDescent="0.2">
      <c r="B35" s="2" t="s">
        <v>473</v>
      </c>
      <c r="C35" s="30">
        <f>SUM(E5:E27)</f>
        <v>215</v>
      </c>
    </row>
    <row r="36" spans="2:3" x14ac:dyDescent="0.2">
      <c r="B36" s="2" t="s">
        <v>474</v>
      </c>
      <c r="C36" s="49">
        <f>AVERAGE(E5:E27)</f>
        <v>9.3478260869565215</v>
      </c>
    </row>
  </sheetData>
  <mergeCells count="3">
    <mergeCell ref="A2:H2"/>
    <mergeCell ref="B29:H29"/>
    <mergeCell ref="A1:H1"/>
  </mergeCells>
  <conditionalFormatting sqref="E5:E27">
    <cfRule type="cellIs" dxfId="9" priority="1" operator="greaterThanOrEqual">
      <formula>15</formula>
    </cfRule>
    <cfRule type="cellIs" dxfId="8" priority="2" operator="between">
      <formula>9</formula>
      <formula>14</formula>
    </cfRule>
    <cfRule type="cellIs" dxfId="7" priority="3" operator="between">
      <formula>4</formula>
      <formula>8</formula>
    </cfRule>
    <cfRule type="cellIs" dxfId="6" priority="4" operator="lessThanOrEqual">
      <formula>3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0"/>
  <sheetViews>
    <sheetView workbookViewId="0">
      <pane xSplit="1" ySplit="8" topLeftCell="B9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6" customWidth="1"/>
    <col min="2" max="9" width="11" customWidth="1"/>
  </cols>
  <sheetData>
    <row r="1" spans="1:9" x14ac:dyDescent="0.2">
      <c r="A1" s="59" t="s">
        <v>475</v>
      </c>
      <c r="B1" s="60"/>
      <c r="C1" s="60"/>
      <c r="D1" s="60"/>
      <c r="E1" s="60"/>
      <c r="F1" s="60"/>
      <c r="G1" s="60"/>
      <c r="H1" s="60"/>
      <c r="I1" s="60"/>
    </row>
    <row r="2" spans="1:9" x14ac:dyDescent="0.2">
      <c r="A2" s="57" t="s">
        <v>476</v>
      </c>
      <c r="B2" s="56"/>
      <c r="C2" s="56"/>
      <c r="D2" s="56"/>
      <c r="E2" s="56"/>
      <c r="F2" s="56"/>
      <c r="G2" s="56"/>
      <c r="H2" s="56"/>
      <c r="I2" s="56"/>
    </row>
    <row r="4" spans="1:9" x14ac:dyDescent="0.2">
      <c r="A4" s="2" t="s">
        <v>477</v>
      </c>
      <c r="B4" s="22">
        <f>'2. P1 Budget'!D56</f>
        <v>17061</v>
      </c>
    </row>
    <row r="5" spans="1:9" x14ac:dyDescent="0.2">
      <c r="A5" s="2" t="s">
        <v>478</v>
      </c>
      <c r="B5" s="19">
        <v>4</v>
      </c>
    </row>
    <row r="7" spans="1:9" x14ac:dyDescent="0.2">
      <c r="A7" s="6" t="s">
        <v>479</v>
      </c>
      <c r="B7" s="69" t="s">
        <v>480</v>
      </c>
      <c r="C7" s="56"/>
      <c r="D7" s="56"/>
      <c r="E7" s="56"/>
      <c r="F7" s="56"/>
      <c r="G7" s="56"/>
      <c r="H7" s="56"/>
      <c r="I7" s="56"/>
    </row>
    <row r="8" spans="1:9" x14ac:dyDescent="0.2">
      <c r="A8" s="5" t="s">
        <v>481</v>
      </c>
      <c r="B8" s="50">
        <v>10</v>
      </c>
      <c r="C8" s="50">
        <v>11</v>
      </c>
      <c r="D8" s="50">
        <v>12</v>
      </c>
      <c r="E8" s="50">
        <v>13</v>
      </c>
      <c r="F8" s="50">
        <v>14</v>
      </c>
      <c r="G8" s="50">
        <v>15</v>
      </c>
      <c r="H8" s="50">
        <v>16</v>
      </c>
      <c r="I8" s="50">
        <v>18</v>
      </c>
    </row>
    <row r="9" spans="1:9" x14ac:dyDescent="0.2">
      <c r="A9" s="51">
        <v>15</v>
      </c>
      <c r="B9" s="52">
        <f t="shared" ref="B9:I9" si="0">$A9*B$8*$B5</f>
        <v>600</v>
      </c>
      <c r="C9" s="52">
        <f t="shared" si="0"/>
        <v>660</v>
      </c>
      <c r="D9" s="52">
        <f t="shared" si="0"/>
        <v>720</v>
      </c>
      <c r="E9" s="52">
        <f t="shared" si="0"/>
        <v>780</v>
      </c>
      <c r="F9" s="52">
        <f t="shared" si="0"/>
        <v>840</v>
      </c>
      <c r="G9" s="52">
        <f t="shared" si="0"/>
        <v>900</v>
      </c>
      <c r="H9" s="52">
        <f t="shared" si="0"/>
        <v>960</v>
      </c>
      <c r="I9" s="52">
        <f t="shared" si="0"/>
        <v>1080</v>
      </c>
    </row>
    <row r="10" spans="1:9" x14ac:dyDescent="0.2">
      <c r="A10" s="51">
        <v>20</v>
      </c>
      <c r="B10" s="52">
        <f t="shared" ref="B10:I10" si="1">$A10*B$8*$B5</f>
        <v>800</v>
      </c>
      <c r="C10" s="52">
        <f t="shared" si="1"/>
        <v>880</v>
      </c>
      <c r="D10" s="52">
        <f t="shared" si="1"/>
        <v>960</v>
      </c>
      <c r="E10" s="52">
        <f t="shared" si="1"/>
        <v>1040</v>
      </c>
      <c r="F10" s="52">
        <f t="shared" si="1"/>
        <v>1120</v>
      </c>
      <c r="G10" s="52">
        <f t="shared" si="1"/>
        <v>1200</v>
      </c>
      <c r="H10" s="52">
        <f t="shared" si="1"/>
        <v>1280</v>
      </c>
      <c r="I10" s="52">
        <f t="shared" si="1"/>
        <v>1440</v>
      </c>
    </row>
    <row r="11" spans="1:9" x14ac:dyDescent="0.2">
      <c r="A11" s="51">
        <v>25</v>
      </c>
      <c r="B11" s="52">
        <f t="shared" ref="B11:I11" si="2">$A11*B$8*$B5</f>
        <v>1000</v>
      </c>
      <c r="C11" s="52">
        <f t="shared" si="2"/>
        <v>1100</v>
      </c>
      <c r="D11" s="52">
        <f t="shared" si="2"/>
        <v>1200</v>
      </c>
      <c r="E11" s="52">
        <f t="shared" si="2"/>
        <v>1300</v>
      </c>
      <c r="F11" s="52">
        <f t="shared" si="2"/>
        <v>1400</v>
      </c>
      <c r="G11" s="52">
        <f t="shared" si="2"/>
        <v>1500</v>
      </c>
      <c r="H11" s="52">
        <f t="shared" si="2"/>
        <v>1600</v>
      </c>
      <c r="I11" s="52">
        <f t="shared" si="2"/>
        <v>1800</v>
      </c>
    </row>
    <row r="12" spans="1:9" x14ac:dyDescent="0.2">
      <c r="A12" s="51">
        <v>30</v>
      </c>
      <c r="B12" s="52">
        <f t="shared" ref="B12:I12" si="3">$A12*B$8*$B5</f>
        <v>1200</v>
      </c>
      <c r="C12" s="52">
        <f t="shared" si="3"/>
        <v>1320</v>
      </c>
      <c r="D12" s="52">
        <f t="shared" si="3"/>
        <v>1440</v>
      </c>
      <c r="E12" s="52">
        <f t="shared" si="3"/>
        <v>1560</v>
      </c>
      <c r="F12" s="52">
        <f t="shared" si="3"/>
        <v>1680</v>
      </c>
      <c r="G12" s="52">
        <f t="shared" si="3"/>
        <v>1800</v>
      </c>
      <c r="H12" s="52">
        <f t="shared" si="3"/>
        <v>1920</v>
      </c>
      <c r="I12" s="52">
        <f t="shared" si="3"/>
        <v>2160</v>
      </c>
    </row>
    <row r="13" spans="1:9" x14ac:dyDescent="0.2">
      <c r="A13" s="51">
        <v>35</v>
      </c>
      <c r="B13" s="52">
        <f t="shared" ref="B13:I13" si="4">$A13*B$8*$B5</f>
        <v>1400</v>
      </c>
      <c r="C13" s="52">
        <f t="shared" si="4"/>
        <v>1540</v>
      </c>
      <c r="D13" s="52">
        <f t="shared" si="4"/>
        <v>1680</v>
      </c>
      <c r="E13" s="52">
        <f t="shared" si="4"/>
        <v>1820</v>
      </c>
      <c r="F13" s="52">
        <f t="shared" si="4"/>
        <v>1960</v>
      </c>
      <c r="G13" s="52">
        <f t="shared" si="4"/>
        <v>2100</v>
      </c>
      <c r="H13" s="52">
        <f t="shared" si="4"/>
        <v>2240</v>
      </c>
      <c r="I13" s="52">
        <f t="shared" si="4"/>
        <v>2520</v>
      </c>
    </row>
    <row r="14" spans="1:9" x14ac:dyDescent="0.2">
      <c r="A14" s="51">
        <v>40</v>
      </c>
      <c r="B14" s="52">
        <f t="shared" ref="B14:I14" si="5">$A14*B$8*$B5</f>
        <v>1600</v>
      </c>
      <c r="C14" s="52">
        <f t="shared" si="5"/>
        <v>1760</v>
      </c>
      <c r="D14" s="52">
        <f t="shared" si="5"/>
        <v>1920</v>
      </c>
      <c r="E14" s="52">
        <f t="shared" si="5"/>
        <v>2080</v>
      </c>
      <c r="F14" s="52">
        <f t="shared" si="5"/>
        <v>2240</v>
      </c>
      <c r="G14" s="52">
        <f t="shared" si="5"/>
        <v>2400</v>
      </c>
      <c r="H14" s="52">
        <f t="shared" si="5"/>
        <v>2560</v>
      </c>
      <c r="I14" s="52">
        <f t="shared" si="5"/>
        <v>2880</v>
      </c>
    </row>
    <row r="15" spans="1:9" x14ac:dyDescent="0.2">
      <c r="A15" s="51">
        <v>45</v>
      </c>
      <c r="B15" s="52">
        <f t="shared" ref="B15:I15" si="6">$A15*B$8*$B5</f>
        <v>1800</v>
      </c>
      <c r="C15" s="52">
        <f t="shared" si="6"/>
        <v>1980</v>
      </c>
      <c r="D15" s="52">
        <f t="shared" si="6"/>
        <v>2160</v>
      </c>
      <c r="E15" s="52">
        <f t="shared" si="6"/>
        <v>2340</v>
      </c>
      <c r="F15" s="52">
        <f t="shared" si="6"/>
        <v>2520</v>
      </c>
      <c r="G15" s="52">
        <f t="shared" si="6"/>
        <v>2700</v>
      </c>
      <c r="H15" s="52">
        <f t="shared" si="6"/>
        <v>2880</v>
      </c>
      <c r="I15" s="52">
        <f t="shared" si="6"/>
        <v>3240</v>
      </c>
    </row>
    <row r="16" spans="1:9" x14ac:dyDescent="0.2">
      <c r="A16" s="51">
        <v>50</v>
      </c>
      <c r="B16" s="52">
        <f t="shared" ref="B16:I16" si="7">$A16*B$8*$B5</f>
        <v>2000</v>
      </c>
      <c r="C16" s="52">
        <f t="shared" si="7"/>
        <v>2200</v>
      </c>
      <c r="D16" s="52">
        <f t="shared" si="7"/>
        <v>2400</v>
      </c>
      <c r="E16" s="52">
        <f t="shared" si="7"/>
        <v>2600</v>
      </c>
      <c r="F16" s="52">
        <f t="shared" si="7"/>
        <v>2800</v>
      </c>
      <c r="G16" s="52">
        <f t="shared" si="7"/>
        <v>3000</v>
      </c>
      <c r="H16" s="52">
        <f t="shared" si="7"/>
        <v>3200</v>
      </c>
      <c r="I16" s="52">
        <f t="shared" si="7"/>
        <v>3600</v>
      </c>
    </row>
    <row r="17" spans="1:9" x14ac:dyDescent="0.2">
      <c r="A17" s="51">
        <v>60</v>
      </c>
      <c r="B17" s="52">
        <f t="shared" ref="B17:I17" si="8">$A17*B$8*$B5</f>
        <v>2400</v>
      </c>
      <c r="C17" s="52">
        <f t="shared" si="8"/>
        <v>2640</v>
      </c>
      <c r="D17" s="52">
        <f t="shared" si="8"/>
        <v>2880</v>
      </c>
      <c r="E17" s="52">
        <f t="shared" si="8"/>
        <v>3120</v>
      </c>
      <c r="F17" s="52">
        <f t="shared" si="8"/>
        <v>3360</v>
      </c>
      <c r="G17" s="52">
        <f t="shared" si="8"/>
        <v>3600</v>
      </c>
      <c r="H17" s="52">
        <f t="shared" si="8"/>
        <v>3840</v>
      </c>
      <c r="I17" s="52">
        <f t="shared" si="8"/>
        <v>4320</v>
      </c>
    </row>
    <row r="18" spans="1:9" x14ac:dyDescent="0.2">
      <c r="A18" s="51">
        <v>70</v>
      </c>
      <c r="B18" s="52">
        <f t="shared" ref="B18:I18" si="9">$A18*B$8*$B5</f>
        <v>2800</v>
      </c>
      <c r="C18" s="52">
        <f t="shared" si="9"/>
        <v>3080</v>
      </c>
      <c r="D18" s="52">
        <f t="shared" si="9"/>
        <v>3360</v>
      </c>
      <c r="E18" s="52">
        <f t="shared" si="9"/>
        <v>3640</v>
      </c>
      <c r="F18" s="52">
        <f t="shared" si="9"/>
        <v>3920</v>
      </c>
      <c r="G18" s="52">
        <f t="shared" si="9"/>
        <v>4200</v>
      </c>
      <c r="H18" s="52">
        <f t="shared" si="9"/>
        <v>4480</v>
      </c>
      <c r="I18" s="52">
        <f t="shared" si="9"/>
        <v>5040</v>
      </c>
    </row>
    <row r="19" spans="1:9" x14ac:dyDescent="0.2">
      <c r="A19" s="51">
        <v>80</v>
      </c>
      <c r="B19" s="52">
        <f t="shared" ref="B19:I19" si="10">$A19*B$8*$B5</f>
        <v>3200</v>
      </c>
      <c r="C19" s="52">
        <f t="shared" si="10"/>
        <v>3520</v>
      </c>
      <c r="D19" s="52">
        <f t="shared" si="10"/>
        <v>3840</v>
      </c>
      <c r="E19" s="52">
        <f t="shared" si="10"/>
        <v>4160</v>
      </c>
      <c r="F19" s="52">
        <f t="shared" si="10"/>
        <v>4480</v>
      </c>
      <c r="G19" s="52">
        <f t="shared" si="10"/>
        <v>4800</v>
      </c>
      <c r="H19" s="52">
        <f t="shared" si="10"/>
        <v>5120</v>
      </c>
      <c r="I19" s="52">
        <f t="shared" si="10"/>
        <v>5760</v>
      </c>
    </row>
    <row r="21" spans="1:9" x14ac:dyDescent="0.2">
      <c r="A21" s="2" t="s">
        <v>482</v>
      </c>
    </row>
    <row r="22" spans="1:9" x14ac:dyDescent="0.2">
      <c r="A22" s="40" t="s">
        <v>483</v>
      </c>
      <c r="B22" s="57" t="s">
        <v>484</v>
      </c>
      <c r="C22" s="56"/>
      <c r="D22" s="56"/>
      <c r="E22" s="56"/>
      <c r="F22" s="56"/>
      <c r="G22" s="56"/>
      <c r="H22" s="56"/>
      <c r="I22" s="56"/>
    </row>
    <row r="23" spans="1:9" x14ac:dyDescent="0.2">
      <c r="A23" s="42" t="s">
        <v>485</v>
      </c>
      <c r="B23" s="57" t="s">
        <v>486</v>
      </c>
      <c r="C23" s="56"/>
      <c r="D23" s="56"/>
      <c r="E23" s="56"/>
      <c r="F23" s="56"/>
      <c r="G23" s="56"/>
      <c r="H23" s="56"/>
      <c r="I23" s="56"/>
    </row>
    <row r="24" spans="1:9" x14ac:dyDescent="0.2">
      <c r="A24" s="44" t="s">
        <v>487</v>
      </c>
      <c r="B24" s="57" t="s">
        <v>488</v>
      </c>
      <c r="C24" s="56"/>
      <c r="D24" s="56"/>
      <c r="E24" s="56"/>
      <c r="F24" s="56"/>
      <c r="G24" s="56"/>
      <c r="H24" s="56"/>
      <c r="I24" s="56"/>
    </row>
    <row r="26" spans="1:9" x14ac:dyDescent="0.2">
      <c r="A26" s="55" t="s">
        <v>489</v>
      </c>
      <c r="B26" s="56"/>
      <c r="C26" s="56"/>
      <c r="D26" s="56"/>
      <c r="E26" s="56"/>
      <c r="F26" s="56"/>
      <c r="G26" s="56"/>
      <c r="H26" s="56"/>
      <c r="I26" s="56"/>
    </row>
    <row r="27" spans="1:9" ht="30" customHeight="1" x14ac:dyDescent="0.2">
      <c r="A27" s="62" t="s">
        <v>490</v>
      </c>
      <c r="B27" s="56"/>
      <c r="C27" s="56"/>
      <c r="D27" s="56"/>
      <c r="E27" s="56"/>
      <c r="F27" s="56"/>
      <c r="G27" s="56"/>
      <c r="H27" s="56"/>
      <c r="I27" s="56"/>
    </row>
    <row r="28" spans="1:9" ht="30" customHeight="1" x14ac:dyDescent="0.2">
      <c r="A28" s="62" t="s">
        <v>491</v>
      </c>
      <c r="B28" s="56"/>
      <c r="C28" s="56"/>
      <c r="D28" s="56"/>
      <c r="E28" s="56"/>
      <c r="F28" s="56"/>
      <c r="G28" s="56"/>
      <c r="H28" s="56"/>
      <c r="I28" s="56"/>
    </row>
    <row r="29" spans="1:9" ht="30" customHeight="1" x14ac:dyDescent="0.2">
      <c r="A29" s="62" t="s">
        <v>492</v>
      </c>
      <c r="B29" s="56"/>
      <c r="C29" s="56"/>
      <c r="D29" s="56"/>
      <c r="E29" s="56"/>
      <c r="F29" s="56"/>
      <c r="G29" s="56"/>
      <c r="H29" s="56"/>
      <c r="I29" s="56"/>
    </row>
    <row r="30" spans="1:9" ht="30" customHeight="1" x14ac:dyDescent="0.2">
      <c r="A30" s="62" t="s">
        <v>493</v>
      </c>
      <c r="B30" s="56"/>
      <c r="C30" s="56"/>
      <c r="D30" s="56"/>
      <c r="E30" s="56"/>
      <c r="F30" s="56"/>
      <c r="G30" s="56"/>
      <c r="H30" s="56"/>
      <c r="I30" s="56"/>
    </row>
  </sheetData>
  <mergeCells count="11">
    <mergeCell ref="A30:I30"/>
    <mergeCell ref="A1:I1"/>
    <mergeCell ref="B22:I22"/>
    <mergeCell ref="A27:I27"/>
    <mergeCell ref="B23:I23"/>
    <mergeCell ref="A26:I26"/>
    <mergeCell ref="A29:I29"/>
    <mergeCell ref="A2:I2"/>
    <mergeCell ref="B7:I7"/>
    <mergeCell ref="A28:I28"/>
    <mergeCell ref="B24:I24"/>
  </mergeCells>
  <conditionalFormatting sqref="B9:I19">
    <cfRule type="expression" dxfId="5" priority="1">
      <formula>B9&gt;=B4</formula>
    </cfRule>
    <cfRule type="expression" dxfId="4" priority="2">
      <formula>AND(B9&gt;=B4*0.6,B9&lt;B4)</formula>
    </cfRule>
    <cfRule type="expression" dxfId="3" priority="3">
      <formula>B9&lt;B4*0.6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4"/>
  <sheetViews>
    <sheetView workbookViewId="0">
      <pane ySplit="6" topLeftCell="A7" activePane="bottomLeft" state="frozen"/>
      <selection pane="bottomLeft" sqref="A1:G1"/>
    </sheetView>
  </sheetViews>
  <sheetFormatPr baseColWidth="10" defaultColWidth="8.83203125" defaultRowHeight="15" x14ac:dyDescent="0.2"/>
  <cols>
    <col min="1" max="1" width="8" customWidth="1"/>
    <col min="2" max="2" width="16" customWidth="1"/>
    <col min="3" max="3" width="38" customWidth="1"/>
    <col min="4" max="5" width="14" customWidth="1"/>
    <col min="6" max="6" width="18" customWidth="1"/>
    <col min="7" max="7" width="30" customWidth="1"/>
  </cols>
  <sheetData>
    <row r="1" spans="1:7" x14ac:dyDescent="0.2">
      <c r="A1" s="59" t="s">
        <v>494</v>
      </c>
      <c r="B1" s="60"/>
      <c r="C1" s="60"/>
      <c r="D1" s="60"/>
      <c r="E1" s="60"/>
      <c r="F1" s="60"/>
      <c r="G1" s="60"/>
    </row>
    <row r="2" spans="1:7" x14ac:dyDescent="0.2">
      <c r="A2" s="57" t="s">
        <v>495</v>
      </c>
      <c r="B2" s="56"/>
      <c r="C2" s="56"/>
      <c r="D2" s="56"/>
      <c r="E2" s="56"/>
      <c r="F2" s="56"/>
      <c r="G2" s="56"/>
    </row>
    <row r="4" spans="1:7" x14ac:dyDescent="0.2">
      <c r="A4" s="2" t="s">
        <v>496</v>
      </c>
      <c r="B4" s="53">
        <v>15000</v>
      </c>
    </row>
    <row r="6" spans="1:7" x14ac:dyDescent="0.2">
      <c r="A6" s="7" t="s">
        <v>497</v>
      </c>
      <c r="B6" s="7" t="s">
        <v>498</v>
      </c>
      <c r="C6" s="7" t="s">
        <v>499</v>
      </c>
      <c r="D6" s="7" t="s">
        <v>500</v>
      </c>
      <c r="E6" s="7" t="s">
        <v>501</v>
      </c>
      <c r="F6" s="7" t="s">
        <v>502</v>
      </c>
      <c r="G6" s="7" t="s">
        <v>46</v>
      </c>
    </row>
    <row r="7" spans="1:7" ht="28" x14ac:dyDescent="0.2">
      <c r="A7" s="9" t="s">
        <v>503</v>
      </c>
      <c r="B7" s="4" t="s">
        <v>504</v>
      </c>
      <c r="C7" s="3" t="s">
        <v>505</v>
      </c>
      <c r="D7" s="8">
        <v>0</v>
      </c>
      <c r="E7" s="8">
        <v>600</v>
      </c>
      <c r="F7" s="16">
        <f>B4+D7-E7</f>
        <v>14400</v>
      </c>
      <c r="G7" s="10" t="s">
        <v>506</v>
      </c>
    </row>
    <row r="8" spans="1:7" ht="28" x14ac:dyDescent="0.2">
      <c r="A8" s="9" t="s">
        <v>507</v>
      </c>
      <c r="B8" s="4" t="s">
        <v>508</v>
      </c>
      <c r="C8" s="3" t="s">
        <v>509</v>
      </c>
      <c r="D8" s="8">
        <v>0</v>
      </c>
      <c r="E8" s="8">
        <v>4500</v>
      </c>
      <c r="F8" s="16">
        <f t="shared" ref="F8:F27" si="0">F7+D8-E8</f>
        <v>9900</v>
      </c>
      <c r="G8" s="10" t="s">
        <v>510</v>
      </c>
    </row>
    <row r="9" spans="1:7" ht="39" x14ac:dyDescent="0.2">
      <c r="A9" s="9" t="s">
        <v>511</v>
      </c>
      <c r="B9" s="4" t="s">
        <v>512</v>
      </c>
      <c r="C9" s="3" t="s">
        <v>513</v>
      </c>
      <c r="D9" s="8">
        <v>0</v>
      </c>
      <c r="E9" s="8">
        <v>3500</v>
      </c>
      <c r="F9" s="16">
        <f t="shared" si="0"/>
        <v>6400</v>
      </c>
      <c r="G9" s="10" t="s">
        <v>514</v>
      </c>
    </row>
    <row r="10" spans="1:7" ht="39" x14ac:dyDescent="0.2">
      <c r="A10" s="9" t="s">
        <v>515</v>
      </c>
      <c r="B10" s="4" t="s">
        <v>516</v>
      </c>
      <c r="C10" s="3" t="s">
        <v>517</v>
      </c>
      <c r="D10" s="8">
        <v>700</v>
      </c>
      <c r="E10" s="8">
        <v>2200</v>
      </c>
      <c r="F10" s="16">
        <f t="shared" si="0"/>
        <v>4900</v>
      </c>
      <c r="G10" s="10" t="s">
        <v>518</v>
      </c>
    </row>
    <row r="11" spans="1:7" x14ac:dyDescent="0.2">
      <c r="A11" s="9" t="s">
        <v>519</v>
      </c>
      <c r="B11" s="4" t="s">
        <v>520</v>
      </c>
      <c r="C11" s="3" t="s">
        <v>521</v>
      </c>
      <c r="D11" s="8">
        <v>1900</v>
      </c>
      <c r="E11" s="8">
        <v>800</v>
      </c>
      <c r="F11" s="16">
        <f t="shared" si="0"/>
        <v>6000</v>
      </c>
      <c r="G11" s="10" t="s">
        <v>522</v>
      </c>
    </row>
    <row r="12" spans="1:7" ht="28" x14ac:dyDescent="0.2">
      <c r="A12" s="9" t="s">
        <v>523</v>
      </c>
      <c r="B12" s="4" t="s">
        <v>524</v>
      </c>
      <c r="C12" s="3" t="s">
        <v>525</v>
      </c>
      <c r="D12" s="8">
        <v>0</v>
      </c>
      <c r="E12" s="8">
        <v>6500</v>
      </c>
      <c r="F12" s="16">
        <f t="shared" si="0"/>
        <v>-500</v>
      </c>
      <c r="G12" s="10" t="s">
        <v>526</v>
      </c>
    </row>
    <row r="13" spans="1:7" ht="28" x14ac:dyDescent="0.2">
      <c r="A13" s="9" t="s">
        <v>527</v>
      </c>
      <c r="B13" s="4" t="s">
        <v>528</v>
      </c>
      <c r="C13" s="3" t="s">
        <v>529</v>
      </c>
      <c r="D13" s="8">
        <v>0</v>
      </c>
      <c r="E13" s="8">
        <v>2200</v>
      </c>
      <c r="F13" s="16">
        <f t="shared" si="0"/>
        <v>-2700</v>
      </c>
      <c r="G13" s="10" t="s">
        <v>530</v>
      </c>
    </row>
    <row r="14" spans="1:7" ht="28" x14ac:dyDescent="0.2">
      <c r="A14" s="9" t="s">
        <v>531</v>
      </c>
      <c r="B14" s="4" t="s">
        <v>532</v>
      </c>
      <c r="C14" s="3" t="s">
        <v>533</v>
      </c>
      <c r="D14" s="8">
        <v>0</v>
      </c>
      <c r="E14" s="8">
        <v>1500</v>
      </c>
      <c r="F14" s="16">
        <f t="shared" si="0"/>
        <v>-4200</v>
      </c>
      <c r="G14" s="10" t="s">
        <v>534</v>
      </c>
    </row>
    <row r="15" spans="1:7" ht="26" x14ac:dyDescent="0.2">
      <c r="A15" s="9" t="s">
        <v>535</v>
      </c>
      <c r="B15" s="4" t="s">
        <v>536</v>
      </c>
      <c r="C15" s="3" t="s">
        <v>537</v>
      </c>
      <c r="D15" s="8">
        <v>700</v>
      </c>
      <c r="E15" s="8">
        <v>400</v>
      </c>
      <c r="F15" s="16">
        <f t="shared" si="0"/>
        <v>-3900</v>
      </c>
      <c r="G15" s="10" t="s">
        <v>538</v>
      </c>
    </row>
    <row r="16" spans="1:7" x14ac:dyDescent="0.2">
      <c r="A16" s="9" t="s">
        <v>539</v>
      </c>
      <c r="B16" s="4" t="s">
        <v>540</v>
      </c>
      <c r="C16" s="3" t="s">
        <v>541</v>
      </c>
      <c r="D16" s="8">
        <v>720</v>
      </c>
      <c r="E16" s="8">
        <v>500</v>
      </c>
      <c r="F16" s="16">
        <f t="shared" si="0"/>
        <v>-3680</v>
      </c>
      <c r="G16" s="10" t="s">
        <v>542</v>
      </c>
    </row>
    <row r="17" spans="1:7" x14ac:dyDescent="0.2">
      <c r="A17" s="9" t="s">
        <v>543</v>
      </c>
      <c r="B17" s="4" t="s">
        <v>544</v>
      </c>
      <c r="C17" s="3" t="s">
        <v>545</v>
      </c>
      <c r="D17" s="8">
        <v>1100</v>
      </c>
      <c r="E17" s="8">
        <v>550</v>
      </c>
      <c r="F17" s="16">
        <f t="shared" si="0"/>
        <v>-3130</v>
      </c>
      <c r="G17" s="10" t="s">
        <v>546</v>
      </c>
    </row>
    <row r="18" spans="1:7" x14ac:dyDescent="0.2">
      <c r="A18" s="9" t="s">
        <v>547</v>
      </c>
      <c r="B18" s="4" t="s">
        <v>548</v>
      </c>
      <c r="C18" s="3" t="s">
        <v>549</v>
      </c>
      <c r="D18" s="8">
        <v>1500</v>
      </c>
      <c r="E18" s="8">
        <v>600</v>
      </c>
      <c r="F18" s="16">
        <f t="shared" si="0"/>
        <v>-2230</v>
      </c>
      <c r="G18" s="10" t="s">
        <v>550</v>
      </c>
    </row>
    <row r="19" spans="1:7" x14ac:dyDescent="0.2">
      <c r="A19" s="9" t="s">
        <v>551</v>
      </c>
      <c r="B19" s="4" t="s">
        <v>552</v>
      </c>
      <c r="C19" s="3" t="s">
        <v>553</v>
      </c>
      <c r="D19" s="8">
        <v>1500</v>
      </c>
      <c r="E19" s="8">
        <v>600</v>
      </c>
      <c r="F19" s="16">
        <f t="shared" si="0"/>
        <v>-1330</v>
      </c>
      <c r="G19" s="10"/>
    </row>
    <row r="20" spans="1:7" x14ac:dyDescent="0.2">
      <c r="A20" s="9" t="s">
        <v>554</v>
      </c>
      <c r="B20" s="4" t="s">
        <v>555</v>
      </c>
      <c r="C20" s="3" t="s">
        <v>556</v>
      </c>
      <c r="D20" s="8">
        <v>1600</v>
      </c>
      <c r="E20" s="8">
        <v>700</v>
      </c>
      <c r="F20" s="16">
        <f t="shared" si="0"/>
        <v>-430</v>
      </c>
      <c r="G20" s="10" t="s">
        <v>557</v>
      </c>
    </row>
    <row r="21" spans="1:7" x14ac:dyDescent="0.2">
      <c r="A21" s="9" t="s">
        <v>558</v>
      </c>
      <c r="B21" s="4" t="s">
        <v>559</v>
      </c>
      <c r="C21" s="3"/>
      <c r="D21" s="8">
        <v>1700</v>
      </c>
      <c r="E21" s="8">
        <v>700</v>
      </c>
      <c r="F21" s="16">
        <f t="shared" si="0"/>
        <v>570</v>
      </c>
      <c r="G21" s="10"/>
    </row>
    <row r="22" spans="1:7" x14ac:dyDescent="0.2">
      <c r="A22" s="9" t="s">
        <v>560</v>
      </c>
      <c r="B22" s="4" t="s">
        <v>561</v>
      </c>
      <c r="C22" s="3"/>
      <c r="D22" s="8">
        <v>1700</v>
      </c>
      <c r="E22" s="8">
        <v>700</v>
      </c>
      <c r="F22" s="16">
        <f t="shared" si="0"/>
        <v>1570</v>
      </c>
      <c r="G22" s="10"/>
    </row>
    <row r="23" spans="1:7" x14ac:dyDescent="0.2">
      <c r="A23" s="9" t="s">
        <v>562</v>
      </c>
      <c r="B23" s="4" t="s">
        <v>563</v>
      </c>
      <c r="C23" s="3" t="s">
        <v>564</v>
      </c>
      <c r="D23" s="8">
        <v>1700</v>
      </c>
      <c r="E23" s="8">
        <v>800</v>
      </c>
      <c r="F23" s="16">
        <f t="shared" si="0"/>
        <v>2470</v>
      </c>
      <c r="G23" s="10" t="s">
        <v>565</v>
      </c>
    </row>
    <row r="24" spans="1:7" x14ac:dyDescent="0.2">
      <c r="A24" s="9" t="s">
        <v>566</v>
      </c>
      <c r="B24" s="4" t="s">
        <v>567</v>
      </c>
      <c r="C24" s="3"/>
      <c r="D24" s="8">
        <v>1800</v>
      </c>
      <c r="E24" s="8">
        <v>700</v>
      </c>
      <c r="F24" s="16">
        <f t="shared" si="0"/>
        <v>3570</v>
      </c>
      <c r="G24" s="10"/>
    </row>
    <row r="25" spans="1:7" x14ac:dyDescent="0.2">
      <c r="A25" s="9" t="s">
        <v>568</v>
      </c>
      <c r="B25" s="4" t="s">
        <v>569</v>
      </c>
      <c r="C25" s="3"/>
      <c r="D25" s="8">
        <v>1800</v>
      </c>
      <c r="E25" s="8">
        <v>700</v>
      </c>
      <c r="F25" s="16">
        <f t="shared" si="0"/>
        <v>4670</v>
      </c>
      <c r="G25" s="10"/>
    </row>
    <row r="26" spans="1:7" x14ac:dyDescent="0.2">
      <c r="A26" s="9" t="s">
        <v>570</v>
      </c>
      <c r="B26" s="4" t="s">
        <v>571</v>
      </c>
      <c r="C26" s="3"/>
      <c r="D26" s="8">
        <v>1800</v>
      </c>
      <c r="E26" s="8">
        <v>800</v>
      </c>
      <c r="F26" s="16">
        <f t="shared" si="0"/>
        <v>5670</v>
      </c>
      <c r="G26" s="10" t="s">
        <v>572</v>
      </c>
    </row>
    <row r="27" spans="1:7" x14ac:dyDescent="0.2">
      <c r="A27" s="9" t="s">
        <v>573</v>
      </c>
      <c r="B27" s="4" t="s">
        <v>574</v>
      </c>
      <c r="C27" s="3"/>
      <c r="D27" s="8">
        <v>1900</v>
      </c>
      <c r="E27" s="8">
        <v>800</v>
      </c>
      <c r="F27" s="16">
        <f t="shared" si="0"/>
        <v>6770</v>
      </c>
      <c r="G27" s="10"/>
    </row>
    <row r="28" spans="1:7" x14ac:dyDescent="0.2">
      <c r="C28" s="12" t="s">
        <v>575</v>
      </c>
      <c r="D28" s="13">
        <f>SUM(D7:D27)</f>
        <v>22120</v>
      </c>
      <c r="E28" s="13">
        <f>SUM(E7:E27)</f>
        <v>30350</v>
      </c>
      <c r="F28" s="13">
        <f>F27</f>
        <v>6770</v>
      </c>
    </row>
    <row r="30" spans="1:7" x14ac:dyDescent="0.2">
      <c r="C30" s="17" t="s">
        <v>576</v>
      </c>
      <c r="F30" s="54">
        <f>MIN(F7:F27)</f>
        <v>-4200</v>
      </c>
    </row>
    <row r="31" spans="1:7" x14ac:dyDescent="0.2">
      <c r="C31" s="17" t="s">
        <v>577</v>
      </c>
      <c r="F31" s="23" t="str">
        <f>INDEX(A7:A27,MATCH(MIN(F7:F27),F7:F27,0))</f>
        <v>W -1</v>
      </c>
    </row>
    <row r="33" spans="1:7" x14ac:dyDescent="0.2">
      <c r="A33" s="57" t="s">
        <v>578</v>
      </c>
      <c r="B33" s="56"/>
      <c r="C33" s="56"/>
      <c r="D33" s="56"/>
      <c r="E33" s="56"/>
      <c r="F33" s="56"/>
      <c r="G33" s="56"/>
    </row>
    <row r="34" spans="1:7" x14ac:dyDescent="0.2">
      <c r="A34" s="57" t="s">
        <v>579</v>
      </c>
      <c r="B34" s="56"/>
      <c r="C34" s="56"/>
      <c r="D34" s="56"/>
      <c r="E34" s="56"/>
      <c r="F34" s="56"/>
      <c r="G34" s="56"/>
    </row>
  </sheetData>
  <mergeCells count="4">
    <mergeCell ref="A33:G33"/>
    <mergeCell ref="A2:G2"/>
    <mergeCell ref="A1:G1"/>
    <mergeCell ref="A34:G34"/>
  </mergeCells>
  <conditionalFormatting sqref="F7:F27">
    <cfRule type="cellIs" dxfId="2" priority="1" operator="lessThan">
      <formula>0</formula>
    </cfRule>
    <cfRule type="cellIs" dxfId="1" priority="2" operator="between">
      <formula>0</formula>
      <formula>3000</formula>
    </cfRule>
    <cfRule type="cellIs" dxfId="0" priority="3" operator="greaterThan">
      <formula>3000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 README</vt:lpstr>
      <vt:lpstr>2. P1 Budget</vt:lpstr>
      <vt:lpstr>3. P1 Revenue</vt:lpstr>
      <vt:lpstr>4. P1 Net Cash</vt:lpstr>
      <vt:lpstr>5. P2 Capex</vt:lpstr>
      <vt:lpstr>6. Combined Capex</vt:lpstr>
      <vt:lpstr>7. Decision Gate</vt:lpstr>
      <vt:lpstr>8. P1 Risks</vt:lpstr>
      <vt:lpstr>9. P1 Sensitivity</vt:lpstr>
      <vt:lpstr>10. Cash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Mirza Hidayat</cp:lastModifiedBy>
  <dcterms:created xsi:type="dcterms:W3CDTF">2026-05-10T19:37:11Z</dcterms:created>
  <dcterms:modified xsi:type="dcterms:W3CDTF">2026-05-10T19:48:15Z</dcterms:modified>
</cp:coreProperties>
</file>